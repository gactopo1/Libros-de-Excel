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160"/>
  </bookViews>
  <sheets>
    <sheet name="transformacion" sheetId="1" r:id="rId1"/>
    <sheet name="Ecuaciones Molodensky" sheetId="5" r:id="rId2"/>
    <sheet name="Datum" sheetId="4" r:id="rId3"/>
  </sheets>
  <calcPr calcId="144525"/>
</workbook>
</file>

<file path=xl/calcChain.xml><?xml version="1.0" encoding="utf-8"?>
<calcChain xmlns="http://schemas.openxmlformats.org/spreadsheetml/2006/main">
  <c r="V5" i="1" l="1"/>
  <c r="T5" i="1"/>
  <c r="O6" i="1"/>
  <c r="T3" i="1"/>
  <c r="V3" i="1" s="1"/>
  <c r="D19" i="5" l="1"/>
  <c r="D22" i="5" s="1"/>
  <c r="E19" i="5"/>
  <c r="E22" i="5" s="1"/>
  <c r="D20" i="5"/>
  <c r="E20" i="5"/>
  <c r="C6" i="5"/>
  <c r="D25" i="5" l="1"/>
  <c r="D24" i="5"/>
  <c r="D23" i="5"/>
  <c r="D21" i="5"/>
  <c r="D30" i="5" s="1"/>
  <c r="E24" i="5"/>
  <c r="E18" i="5"/>
  <c r="D6" i="5"/>
  <c r="E21" i="5" s="1"/>
  <c r="D3" i="5"/>
  <c r="A6" i="5"/>
  <c r="D27" i="5" l="1"/>
  <c r="E27" i="5"/>
  <c r="E25" i="5"/>
  <c r="D26" i="5"/>
  <c r="D29" i="5"/>
  <c r="E23" i="5"/>
  <c r="E30" i="5"/>
  <c r="F15" i="5" s="1"/>
  <c r="E29" i="5"/>
  <c r="E15" i="5" s="1"/>
  <c r="I15" i="5" s="1"/>
  <c r="E26" i="5"/>
  <c r="D18" i="5"/>
  <c r="D28" i="5" l="1"/>
  <c r="D31" i="5" s="1"/>
  <c r="D12" i="5" s="1"/>
  <c r="H12" i="5" s="1"/>
  <c r="E28" i="5"/>
  <c r="D15" i="5" s="1"/>
  <c r="H15" i="5" s="1"/>
  <c r="D32" i="5"/>
  <c r="E12" i="5" s="1"/>
  <c r="I12" i="5" s="1"/>
  <c r="D33" i="5"/>
  <c r="F12" i="5" s="1"/>
</calcChain>
</file>

<file path=xl/sharedStrings.xml><?xml version="1.0" encoding="utf-8"?>
<sst xmlns="http://schemas.openxmlformats.org/spreadsheetml/2006/main" count="1024" uniqueCount="548">
  <si>
    <t>Transformación de Datum por Molodensky</t>
  </si>
  <si>
    <t>∆λ= (-(∆x sen λₒ) +(∆y cos λₒ)) / (N+hₒ) cos ϕₒ</t>
  </si>
  <si>
    <r>
      <t>∆h= (∆x cos ϕₒ sen ϕₒ) + (∆y cos ϕₒ sen λₒ) + (∆ysen ϕ</t>
    </r>
    <r>
      <rPr>
        <sz val="11"/>
        <color theme="1"/>
        <rFont val="Calibri"/>
        <family val="2"/>
      </rPr>
      <t>ₒ) - (∆a a/N) + (∆f bₒ/aₒ N sen² ϕₒ)</t>
    </r>
  </si>
  <si>
    <t>ϕₒ</t>
  </si>
  <si>
    <t>λₒ</t>
  </si>
  <si>
    <t>hₒ</t>
  </si>
  <si>
    <t>Coordenadas en Datum ORIGEN</t>
  </si>
  <si>
    <t>Coordenadas en Datum DESTINO</t>
  </si>
  <si>
    <t>ϕₓ</t>
  </si>
  <si>
    <t>λₓ</t>
  </si>
  <si>
    <t>hₓ</t>
  </si>
  <si>
    <t>∆x</t>
  </si>
  <si>
    <t>∆y</t>
  </si>
  <si>
    <t>∆z</t>
  </si>
  <si>
    <t>∆a</t>
  </si>
  <si>
    <t>∆f x 10⁴</t>
  </si>
  <si>
    <t>Planilla de DATUMS</t>
  </si>
  <si>
    <t>Nombre</t>
  </si>
  <si>
    <t>Continente</t>
  </si>
  <si>
    <t>Código</t>
  </si>
  <si>
    <t>Elipsoide</t>
  </si>
  <si>
    <r>
      <rPr>
        <sz val="11"/>
        <color theme="1"/>
        <rFont val="Calibri"/>
        <family val="2"/>
      </rPr>
      <t xml:space="preserve">∆ </t>
    </r>
    <r>
      <rPr>
        <sz val="11"/>
        <color theme="1"/>
        <rFont val="Calibri"/>
        <family val="2"/>
        <scheme val="minor"/>
      </rPr>
      <t>Referido a WGS84</t>
    </r>
  </si>
  <si>
    <t>∆ de transformación a WGS84</t>
  </si>
  <si>
    <t>∆a (mts)</t>
  </si>
  <si>
    <t>ADINDAN - Main Solution</t>
  </si>
  <si>
    <t>Africa</t>
  </si>
  <si>
    <t>ADI-M</t>
  </si>
  <si>
    <t>Clarke 1880</t>
  </si>
  <si>
    <t>ADINDAN - Burkina Faso</t>
  </si>
  <si>
    <t>ADI-E</t>
  </si>
  <si>
    <t>ADINDAN - Camurun</t>
  </si>
  <si>
    <t>ADI-F</t>
  </si>
  <si>
    <t>ADINDAN - Etiopia</t>
  </si>
  <si>
    <t>ADI-A</t>
  </si>
  <si>
    <t>ADINDAN - Mali</t>
  </si>
  <si>
    <t>ADI-C</t>
  </si>
  <si>
    <t>ADINDAN - Sudan</t>
  </si>
  <si>
    <t>ADI-B</t>
  </si>
  <si>
    <t>AFGOOYE - Somalia</t>
  </si>
  <si>
    <t>AFG</t>
  </si>
  <si>
    <t>Krassovsky</t>
  </si>
  <si>
    <t>ARC 1950 - Main Solution</t>
  </si>
  <si>
    <t>ARF-M</t>
  </si>
  <si>
    <t>ARC 1950 - Botswana</t>
  </si>
  <si>
    <t>ARF-A</t>
  </si>
  <si>
    <t>ARC 1950 - Burundi</t>
  </si>
  <si>
    <t>ARF-H</t>
  </si>
  <si>
    <t>ARC 1950 - Lesotho</t>
  </si>
  <si>
    <t>ARF-B</t>
  </si>
  <si>
    <t>ARC 1950 - Malawi</t>
  </si>
  <si>
    <t>ARF-C</t>
  </si>
  <si>
    <t>ARC 1950 - Swaziland</t>
  </si>
  <si>
    <t>ARF-D</t>
  </si>
  <si>
    <t>ARC 1950 - Zaire</t>
  </si>
  <si>
    <t>ARF-E</t>
  </si>
  <si>
    <t>ARC 1950 - Zambia</t>
  </si>
  <si>
    <t>ARF-F</t>
  </si>
  <si>
    <t>ARC 1950 - Zimbabwe</t>
  </si>
  <si>
    <t>ARF-G</t>
  </si>
  <si>
    <t>ARC 1960 - Main Solution</t>
  </si>
  <si>
    <t>ARS-M</t>
  </si>
  <si>
    <t>ARC 1960 - Kenya</t>
  </si>
  <si>
    <t>ARS-A</t>
  </si>
  <si>
    <t>ARC 1960 - Tanzania</t>
  </si>
  <si>
    <t>ARS-B</t>
  </si>
  <si>
    <t>AYABELLE LIGHTHOUSE - Djibouti</t>
  </si>
  <si>
    <t>PHA</t>
  </si>
  <si>
    <t>BISSAU - Guinea-Bissau</t>
  </si>
  <si>
    <t>BID</t>
  </si>
  <si>
    <t>International 1924</t>
  </si>
  <si>
    <t>CAPE - South Africa</t>
  </si>
  <si>
    <t>CAP</t>
  </si>
  <si>
    <t>CARTHAGE - Tunisia</t>
  </si>
  <si>
    <t>CGE</t>
  </si>
  <si>
    <t>DABOLA - Guinea</t>
  </si>
  <si>
    <t>DAL</t>
  </si>
  <si>
    <t>EUROPEAN 1950 - Egypt</t>
  </si>
  <si>
    <t>EUR-F</t>
  </si>
  <si>
    <t>EUROPEAN 1950 -Tunisia</t>
  </si>
  <si>
    <t>EUR-T</t>
  </si>
  <si>
    <t>LEIGON - Ghana</t>
  </si>
  <si>
    <t xml:space="preserve"> LEH</t>
  </si>
  <si>
    <t>LIBERIA 1964 - Liberia</t>
  </si>
  <si>
    <t>LIB</t>
  </si>
  <si>
    <t>MASSAWA - Eritrea (Ethiopia)</t>
  </si>
  <si>
    <t>MAS</t>
  </si>
  <si>
    <t>Bessel 1841</t>
  </si>
  <si>
    <t>MERCHICH - Morocco</t>
  </si>
  <si>
    <t>MER</t>
  </si>
  <si>
    <t>MINNA - Cameroon</t>
  </si>
  <si>
    <t>MIN-A</t>
  </si>
  <si>
    <t>MINNA - Nigeria</t>
  </si>
  <si>
    <t>MIN-B</t>
  </si>
  <si>
    <t>M'PORALOKO - Gabon</t>
  </si>
  <si>
    <t>MPO</t>
  </si>
  <si>
    <t>NORTH SAHARA 1959 - Algeria</t>
  </si>
  <si>
    <t>NSD</t>
  </si>
  <si>
    <t>OLD EGYPTIAN 1907 - Egypt</t>
  </si>
  <si>
    <t>OEG</t>
  </si>
  <si>
    <t>Helmert 1906</t>
  </si>
  <si>
    <t>POINT 58 - Burkina Faso , Niger</t>
  </si>
  <si>
    <t>PTB</t>
  </si>
  <si>
    <t>POINTE NOIRE 1948 - Congo</t>
  </si>
  <si>
    <t>PTN</t>
  </si>
  <si>
    <t>SCHWARZECK - Namibia</t>
  </si>
  <si>
    <t>SCK</t>
  </si>
  <si>
    <t>SIERRA LEONE 1960 - Sierra Leone</t>
  </si>
  <si>
    <t>SRL</t>
  </si>
  <si>
    <t>Clark 1880</t>
  </si>
  <si>
    <t>VOIROL 1960 - Algeria</t>
  </si>
  <si>
    <t>VOR</t>
  </si>
  <si>
    <t>AIN EL ABD 1970 - Bahrain Island</t>
  </si>
  <si>
    <t>Asia</t>
  </si>
  <si>
    <t>AIN-A</t>
  </si>
  <si>
    <t>AIN EL ABD 1970 - Saudi Arabia</t>
  </si>
  <si>
    <t>AIN-B</t>
  </si>
  <si>
    <t>DJAKARTA (BATAVIA) - Sumatra (Indonesia)</t>
  </si>
  <si>
    <t>BAT</t>
  </si>
  <si>
    <t>EUROPEAN 1950 - Iran</t>
  </si>
  <si>
    <t>EUR</t>
  </si>
  <si>
    <t>HONG KONG 1963 - Hong Kong</t>
  </si>
  <si>
    <t>HKD</t>
  </si>
  <si>
    <t>HU-TZU-SHAN - Taiwan</t>
  </si>
  <si>
    <t>HTN</t>
  </si>
  <si>
    <t>INDIAN - Bangladesh</t>
  </si>
  <si>
    <t>IND-B</t>
  </si>
  <si>
    <t>Everest (1830)</t>
  </si>
  <si>
    <t>INDIAN - India and Nepal</t>
  </si>
  <si>
    <t>IND-I</t>
  </si>
  <si>
    <t>Everest (1956)</t>
  </si>
  <si>
    <t>INDIAN 1954 - Thailand</t>
  </si>
  <si>
    <t>INF-A</t>
  </si>
  <si>
    <t>INDIAN 1960 - Vietnam (near 16°N)</t>
  </si>
  <si>
    <t>ING-A</t>
  </si>
  <si>
    <t>INDIAN 1960 - Con Son Island (Vietnam)</t>
  </si>
  <si>
    <t>ING-B</t>
  </si>
  <si>
    <t>INDIAN 1975 - Thailand</t>
  </si>
  <si>
    <t>INH-A</t>
  </si>
  <si>
    <t>INH-A1</t>
  </si>
  <si>
    <t>INDONESIAN 1974 - Indonesia</t>
  </si>
  <si>
    <t>IDN</t>
  </si>
  <si>
    <t>Indonesian 1974</t>
  </si>
  <si>
    <t>KANDAWALA - Sri Lanka</t>
  </si>
  <si>
    <t>KAN</t>
  </si>
  <si>
    <t>KERTAU 1948 - West Malaysia and Singapore</t>
  </si>
  <si>
    <t>KEA</t>
  </si>
  <si>
    <t>Everest (1948)</t>
  </si>
  <si>
    <t>KOREAN GEODETIC SYSTEM 1995 - South Korea</t>
  </si>
  <si>
    <t>KGS</t>
  </si>
  <si>
    <t>WGS 84</t>
  </si>
  <si>
    <t>NAHRWAN - Masirah Island (Oman)</t>
  </si>
  <si>
    <t>NAH-A</t>
  </si>
  <si>
    <t>NAHRWAN - United Arab Emirates</t>
  </si>
  <si>
    <t>NAH-B</t>
  </si>
  <si>
    <t>NAHRWAN - Saudi Arabia</t>
  </si>
  <si>
    <t>NAH-C</t>
  </si>
  <si>
    <t>OMAN - Oman</t>
  </si>
  <si>
    <t>FAH</t>
  </si>
  <si>
    <t>QATAR NATIONAL - Qatar</t>
  </si>
  <si>
    <t>QAT</t>
  </si>
  <si>
    <t>SOUTH ASIA - Singapore</t>
  </si>
  <si>
    <t>SOA</t>
  </si>
  <si>
    <t>Modified Fischer 1960</t>
  </si>
  <si>
    <t>TIMBALAI 1948 - Brunei and East Malaysia (Sarawak and Sabah)</t>
  </si>
  <si>
    <t>TIL</t>
  </si>
  <si>
    <t>Everest</t>
  </si>
  <si>
    <t>TOKYO - Mean Solution</t>
  </si>
  <si>
    <t>TOY-M</t>
  </si>
  <si>
    <t>TOKYO - Japan</t>
  </si>
  <si>
    <t>TOY-A</t>
  </si>
  <si>
    <t>TOKYO - Okinawa</t>
  </si>
  <si>
    <t>TOY-C</t>
  </si>
  <si>
    <t>TOKYO - South Korea</t>
  </si>
  <si>
    <t>TOY-B</t>
  </si>
  <si>
    <t>TOY-B1</t>
  </si>
  <si>
    <t>AUSTRALIAN GEODETIC 1966 - Australia and Tasmania</t>
  </si>
  <si>
    <t>Australia</t>
  </si>
  <si>
    <t>AUA</t>
  </si>
  <si>
    <t>Australian National</t>
  </si>
  <si>
    <t>AUSTRALIAN GEODETIC 1984 - Australia and Tasmania</t>
  </si>
  <si>
    <t>AUG</t>
  </si>
  <si>
    <t>CO-ORDINATE SYSTEM 1937 OF ESTONIA - Estonia</t>
  </si>
  <si>
    <t>Europa</t>
  </si>
  <si>
    <t>EST</t>
  </si>
  <si>
    <t>EUROPEAN 1950 - Mean Solution</t>
  </si>
  <si>
    <t>EUR-M</t>
  </si>
  <si>
    <t>EUROPEAN 1950 - Western Europe {Limited to Austria, Denmark, France, FRG (Federal Republic of Germany)*, Netherlands and Switzerland}</t>
  </si>
  <si>
    <t>EUR-A</t>
  </si>
  <si>
    <t>EUROPEAN 1950 - Cyprus</t>
  </si>
  <si>
    <t>EUR-E</t>
  </si>
  <si>
    <t>EUROPEAN 1950 -  Egypt</t>
  </si>
  <si>
    <t>EUROPEAN 1950 - England, Channel Islands, Scotland and Shetland Islands**</t>
  </si>
  <si>
    <t>EUR-G</t>
  </si>
  <si>
    <t>EUROPEAN 1950 - England, Ireland, Scotland and Shetland Islands**</t>
  </si>
  <si>
    <t>EUR-K</t>
  </si>
  <si>
    <t>EUROPEAN 1950 - Greece</t>
  </si>
  <si>
    <t xml:space="preserve"> EUR-B</t>
  </si>
  <si>
    <t xml:space="preserve"> EUR-H</t>
  </si>
  <si>
    <t>EUROPEAN 1950 - Italy (Sardinia)</t>
  </si>
  <si>
    <t>EUR-I</t>
  </si>
  <si>
    <t>EUROPEAN 1950 - Italy (Sicily)</t>
  </si>
  <si>
    <t>EUR-J</t>
  </si>
  <si>
    <t>EUROPEAN 1950 - Malta</t>
  </si>
  <si>
    <t>EUR-L</t>
  </si>
  <si>
    <t>EUROPEAN 1950 - Norway and Finland</t>
  </si>
  <si>
    <t>EUR-C</t>
  </si>
  <si>
    <t>EUROPEAN 1950 - Portugal and Spain</t>
  </si>
  <si>
    <t>EUR-D</t>
  </si>
  <si>
    <t>EUROPEAN 1950 - Tunisia</t>
  </si>
  <si>
    <t>EUROPEAN 1979 - Austria, Finland,  Netherlands, Norway, Spain, Sweden and Switzerland</t>
  </si>
  <si>
    <t>EUS</t>
  </si>
  <si>
    <t>HJORSEY 1955 - Iceland</t>
  </si>
  <si>
    <t>HJO</t>
  </si>
  <si>
    <t>IRELAND 1965 - Ireland</t>
  </si>
  <si>
    <t>IRL</t>
  </si>
  <si>
    <t>Modified Airy</t>
  </si>
  <si>
    <t>ORDNANCE SURVEY OF GREAT BRITAIN 1936 - England, Isle of Man, Scotland, Shetland Islands and Wales</t>
  </si>
  <si>
    <t>OGB-M</t>
  </si>
  <si>
    <t>Airy</t>
  </si>
  <si>
    <t>ORDNANCE SURVEY OF GREAT BRITAIN 1936 - England</t>
  </si>
  <si>
    <t>OGB-A</t>
  </si>
  <si>
    <t>ORDNANCE SURVEY OF GREAT BRITAIN 1936 - England, Isle of Man and Wales</t>
  </si>
  <si>
    <t>OGB-B</t>
  </si>
  <si>
    <t>ORDNANCE SURVEY OF GREAT BRITAIN 1936 - Scotland and Shetland Islands</t>
  </si>
  <si>
    <t>OGB-C</t>
  </si>
  <si>
    <t>ORDNANCE SURVEY OF GREAT BRITAIN 1936 - Wales</t>
  </si>
  <si>
    <t>OGB-D</t>
  </si>
  <si>
    <t>ROME 1940 - Sardinia</t>
  </si>
  <si>
    <t>MOD</t>
  </si>
  <si>
    <t>S-42 (PULKOVO 1942) - Hungary</t>
  </si>
  <si>
    <t>SPK-A</t>
  </si>
  <si>
    <t>Krassovsky 1940</t>
  </si>
  <si>
    <t>S-42 (PULKOVO 1942) - Poland</t>
  </si>
  <si>
    <t>SPK-B</t>
  </si>
  <si>
    <t>S-42 (PULKOVO 1942) - Czechoslovakia</t>
  </si>
  <si>
    <t>SPK-C</t>
  </si>
  <si>
    <t>S-42 (PULKOVO 1942) - Latvia</t>
  </si>
  <si>
    <t>SPK-D</t>
  </si>
  <si>
    <t>S-42 (PULKOVO 1942) - Kazakhstan</t>
  </si>
  <si>
    <t>SPK-E</t>
  </si>
  <si>
    <t>S-42 (PULKOVO 1942) - Albania</t>
  </si>
  <si>
    <t>SPK-F</t>
  </si>
  <si>
    <t>S-42 (PULKOVO 1942) - Romania</t>
  </si>
  <si>
    <t>SPK-G</t>
  </si>
  <si>
    <t>S-JTSK - Czechoslovakia</t>
  </si>
  <si>
    <t>CCD</t>
  </si>
  <si>
    <t>CAPE CANAVERAL - Florida and Bahamas</t>
  </si>
  <si>
    <t>America del Norte</t>
  </si>
  <si>
    <t>CAC</t>
  </si>
  <si>
    <t>Clarke 1866</t>
  </si>
  <si>
    <t>NORTH AMERICAN 1927 - Mean Solution (CONUS)</t>
  </si>
  <si>
    <t>NAS-C</t>
  </si>
  <si>
    <t>NORTH AMERICAN 1927 - Western United States (Arizona, Arkansas, California, Colorado, Idaho, Iowa, Kansas, Montana, Nebraska, Nevada,New Mexico, North Dakota, Oklahoma, Oregon, South Dakota, Texas, Utah, Washington and Wyoming)</t>
  </si>
  <si>
    <t>NAS-B</t>
  </si>
  <si>
    <t>NORTH AMERICAN 1927 - Eastern United States (Alabama,  Connecticut, Delaware, District of Columbia, Florida, Georgia, Illinois, Indiana, Kentucky, Louisiana, Maine, Maryland, Massachusetts, Michigan,  Minnesota, Mississippi,  Missouri, New Hampshire, New Jersey, New York, North Carolina, Ohio, Pennsylvania,  Rhode Island, South Carolina, Tennessee,  Vermont, Virginia, West Virginia and Wisconsin)</t>
  </si>
  <si>
    <t>NAS-A</t>
  </si>
  <si>
    <t>NORTH AMERICAN 1927 - Alaska (Excluding Aleutian Islands)</t>
  </si>
  <si>
    <t>NAS-D</t>
  </si>
  <si>
    <t>NORTH AMERICAN 1927 - Aleutian Islands - East of 180°W</t>
  </si>
  <si>
    <t>NAS-V</t>
  </si>
  <si>
    <t>NORTH AMERICAN 1927 - Aleutian Islands - West of 180°W</t>
  </si>
  <si>
    <t>NAS-W</t>
  </si>
  <si>
    <t>NORTH AMERICAN 1927 - Bahamas (Excluding San Salvador Island)</t>
  </si>
  <si>
    <t>NAS-Q</t>
  </si>
  <si>
    <t>NORTH AMERICAN 1927 - San Salvador Island</t>
  </si>
  <si>
    <t>NAS-R</t>
  </si>
  <si>
    <t>NORTH AMERICAN 1927 - Canada Mean Solution (Including Newfoundland)</t>
  </si>
  <si>
    <t>NAS-E</t>
  </si>
  <si>
    <t>NORTH AMERICAN 1927 - Alberta and British Columbia</t>
  </si>
  <si>
    <t>NAS-F</t>
  </si>
  <si>
    <t>NORTH AMERICAN 1927 - Eastern Canada (Newfoundland, New Brunswick, Nova Scotia and Quebec)</t>
  </si>
  <si>
    <t>NAS-G</t>
  </si>
  <si>
    <t>NORTH AMERICAN 1927 - Manitoba and Ontario</t>
  </si>
  <si>
    <t>NAS-H</t>
  </si>
  <si>
    <t>NORTH AMERICAN 1927 - Northwest Territories and Saskatchewan</t>
  </si>
  <si>
    <t>NAS-I</t>
  </si>
  <si>
    <t>NORTH AMERICAN 1927 - Yukon</t>
  </si>
  <si>
    <t>NAS-J</t>
  </si>
  <si>
    <t>NORTH AMERICAN 1927 - Canal Zone</t>
  </si>
  <si>
    <t>NAS-O</t>
  </si>
  <si>
    <t>NORTH AMERICAN 1927 - Caribbean (Antigua Island, Barbados, Barbuda, Caicos Islands, Cuba, Dominican Republic, Grand Cayman, Jamaica and Turks Islands)</t>
  </si>
  <si>
    <t>NAS-P</t>
  </si>
  <si>
    <t>NORTH AMERICAN 1927 - Central America (Belize, Costa Rica, El Salvador, Guatemala, Honduras and Nicaragua)</t>
  </si>
  <si>
    <t>NAS-N</t>
  </si>
  <si>
    <t>NORTH AMERICAN 1927 - Cuba</t>
  </si>
  <si>
    <t>NAS-T</t>
  </si>
  <si>
    <t>NORTH AMERICAN 1927 - Greenland (Hayes Peninsula)</t>
  </si>
  <si>
    <t>NAS-U</t>
  </si>
  <si>
    <t>NORTH AMERICAN 1927 - Mexico</t>
  </si>
  <si>
    <t>NAS-L</t>
  </si>
  <si>
    <t>NORTH AMERICAN 1983 - Alaska (Excluding Aleutian Islands)</t>
  </si>
  <si>
    <t>NAR-A</t>
  </si>
  <si>
    <t>GRS 80</t>
  </si>
  <si>
    <t>NORTH AMERICAN 1983 - Aleutian Islands</t>
  </si>
  <si>
    <t>NAR-E</t>
  </si>
  <si>
    <t>NORTH AMERICAN 1983 - Canada</t>
  </si>
  <si>
    <t>NAR-B</t>
  </si>
  <si>
    <t>NORTH AMERICAN 1983 - CONUS</t>
  </si>
  <si>
    <t>NAR-C</t>
  </si>
  <si>
    <t>NORTH AMERICAN 1983 - Hawaii</t>
  </si>
  <si>
    <t>NAR-H</t>
  </si>
  <si>
    <t>NORTH AMERICAN 1983 - Mexico and Central America</t>
  </si>
  <si>
    <t>NAR-D</t>
  </si>
  <si>
    <t>BOGOTA OBSERVATORY - Colombia</t>
  </si>
  <si>
    <t>América del Sur</t>
  </si>
  <si>
    <t>BOO</t>
  </si>
  <si>
    <t>CAMPO INCHAUSPE 1969 - Argentina</t>
  </si>
  <si>
    <t>CAI</t>
  </si>
  <si>
    <t>CHUA ASTRO - Paraguay</t>
  </si>
  <si>
    <t>CHU</t>
  </si>
  <si>
    <t>CORREGO ALEGRE - Brazil</t>
  </si>
  <si>
    <t>COA</t>
  </si>
  <si>
    <t>PROVISIONAL SOUTH AMERICAN 1956 - Mean Solution (Bolivia, Chile, Colombia, Ecuador, Guyana, Peru and Venezuela)</t>
  </si>
  <si>
    <t>PRP-M</t>
  </si>
  <si>
    <t>PROVISIONAL SOUTH AMERICAN 1956 - Bolivia</t>
  </si>
  <si>
    <t>PRP-A</t>
  </si>
  <si>
    <t>PROVISIONAL SOUTH AMERICAN 1956 - Northern Chile (near 19°S)</t>
  </si>
  <si>
    <t>PRP-B</t>
  </si>
  <si>
    <t>PROVISIONAL SOUTH AMERICAN 1956 - Southern Chile (near 43°S)</t>
  </si>
  <si>
    <t>PRP-C</t>
  </si>
  <si>
    <t>PROVISIONAL SOUTH AMERICAN 1956 - Colombia</t>
  </si>
  <si>
    <t>PRP-D</t>
  </si>
  <si>
    <t>PROVISIONAL SOUTH AMERICAN 1956 - Ecuador</t>
  </si>
  <si>
    <t>PRP-E</t>
  </si>
  <si>
    <t>PROVISIONAL SOUTH AMERICAN 1956 - Guyana</t>
  </si>
  <si>
    <t>PRP-F</t>
  </si>
  <si>
    <t>PROVISIONAL SOUTH AMERICAN 1956 - Peru</t>
  </si>
  <si>
    <t>PRP-G</t>
  </si>
  <si>
    <t>PROVISIONAL SOUTH AMERICAN 1956 - Venezuela</t>
  </si>
  <si>
    <t>PRP-H</t>
  </si>
  <si>
    <t>PROVISIONAL SOUTH CHILEAN 1963 - Southern Chile (near 53°S)</t>
  </si>
  <si>
    <t>HIT</t>
  </si>
  <si>
    <t>SOUTH AMERICAN 1969 - Mean Solution (Argentina, Bolivia,Brazil, Chile, Colombia,Ecuador, Guyana,Paraguay, Peru,Trinidad and Tobagoand Venezuela)</t>
  </si>
  <si>
    <t>SAN-M</t>
  </si>
  <si>
    <t>South American 1969</t>
  </si>
  <si>
    <t>SOUTH AMERICAN 1969 - Argentina</t>
  </si>
  <si>
    <t>SAN-A</t>
  </si>
  <si>
    <t>SOUTH AMERICAN 1969 - Bolivia</t>
  </si>
  <si>
    <t>SAN-B</t>
  </si>
  <si>
    <t>SOUTH AMERICAN 1969 - Brazil</t>
  </si>
  <si>
    <t>SAN-C</t>
  </si>
  <si>
    <t>SOUTH AMERICAN 1969 - Chile</t>
  </si>
  <si>
    <t>SAN-D</t>
  </si>
  <si>
    <t>SOUTH AMERICAN 1969 - Colombia</t>
  </si>
  <si>
    <t>SAN-E</t>
  </si>
  <si>
    <t>SOUTH AMERICAN 1969 - Ecuador (Excluding Galapagos Islands)</t>
  </si>
  <si>
    <t>SAN-F</t>
  </si>
  <si>
    <t>SOUTH AMERICAN 1969 - Baltra and Galapagos Islands</t>
  </si>
  <si>
    <t>SAN-J</t>
  </si>
  <si>
    <t>SOUTH AMERICAN 1969 - Guyana</t>
  </si>
  <si>
    <t>SAN-G</t>
  </si>
  <si>
    <t>SOUTH AMERICAN 1969 - Paraguay</t>
  </si>
  <si>
    <t>SAN-H</t>
  </si>
  <si>
    <t>SOUTH AMERICAN 1969 - Peru</t>
  </si>
  <si>
    <t>SAN-I</t>
  </si>
  <si>
    <t>SOUTH AMERICAN 1969 - Trinidad and Tobago</t>
  </si>
  <si>
    <t>SAN-K</t>
  </si>
  <si>
    <t>SOUTH AMERICAN 1969 - Venezuela</t>
  </si>
  <si>
    <t>SAN-L</t>
  </si>
  <si>
    <t>SOUTH AMERICAN GEOCENTRIC REFERENCE SYSTEM (SIRGAS) - South America</t>
  </si>
  <si>
    <t>SIR</t>
  </si>
  <si>
    <t>ZANDERIJ - Suriname</t>
  </si>
  <si>
    <t>ZAN</t>
  </si>
  <si>
    <t>ANTIGUA ISLAND ASTRO 1943 - Antigua and Leeward Islands</t>
  </si>
  <si>
    <t>Oceano Atlantico</t>
  </si>
  <si>
    <t>AIA</t>
  </si>
  <si>
    <t>ASCENSION ISLAND 1958 - Ascension Island</t>
  </si>
  <si>
    <t>ASC</t>
  </si>
  <si>
    <t>ASTRO DOS 71/4 - St. Helena Island</t>
  </si>
  <si>
    <t>SHB</t>
  </si>
  <si>
    <t>BERMUDA 1957 - Bermuda Islands</t>
  </si>
  <si>
    <t>BER</t>
  </si>
  <si>
    <t>CAPE CANAVERAL - Mean Solution (Bahamas and Florida)</t>
  </si>
  <si>
    <t>DECEPTION ISLAND - Deception Island and Antarctica</t>
  </si>
  <si>
    <t>DID</t>
  </si>
  <si>
    <t>FORT THOMAS 1955 . Nevis, St. Kitts and Leeward Islands</t>
  </si>
  <si>
    <t>FOT</t>
  </si>
  <si>
    <t>GRACIOSA BASE SW 1948 - Faial, Graciosa, Pico, Sao Jorge and Terceira Islands (Azores)</t>
  </si>
  <si>
    <t>GRA</t>
  </si>
  <si>
    <t>ISTS 061 ASTRO 1968 - South Georgia Island</t>
  </si>
  <si>
    <t>ISG</t>
  </si>
  <si>
    <t>L. C. 5 ASTRO 1961 - Cayman Brac Island</t>
  </si>
  <si>
    <t>LCF</t>
  </si>
  <si>
    <t>MONTSERRAT ISLAND ASTRO 1958 - Montserrat and Leeward Islands</t>
  </si>
  <si>
    <t>ASM</t>
  </si>
  <si>
    <t>NAPARIMA, BWI - Trinidad and Tobago</t>
  </si>
  <si>
    <t>NAP</t>
  </si>
  <si>
    <t>OBSERVATORIO METEOROLOGICO 1939 - Corvo and Flores Islands (Azores)</t>
  </si>
  <si>
    <t>FLO</t>
  </si>
  <si>
    <t>PICO DE LAS NIEVES - Canary Islands</t>
  </si>
  <si>
    <t>PLN</t>
  </si>
  <si>
    <t>PORTO SANTO 1936 - Porto Santo and Madeira Islands</t>
  </si>
  <si>
    <t>POS</t>
  </si>
  <si>
    <t>PUERTO RICO - Puerto Rico and Virgin Islands</t>
  </si>
  <si>
    <t>PUR</t>
  </si>
  <si>
    <t>QORNOQ - South Greenland</t>
  </si>
  <si>
    <t>QUO</t>
  </si>
  <si>
    <t>SAO BRAZ - Sao Miguel and Santa Maria Islands (Azores)</t>
  </si>
  <si>
    <t>SAO</t>
  </si>
  <si>
    <t>SAPPER HILL 1943 - Islas Malvinas</t>
  </si>
  <si>
    <t>SAP</t>
  </si>
  <si>
    <t>SELVAGEM GRANDE 1938 - Salvage Islands</t>
  </si>
  <si>
    <t>SGM</t>
  </si>
  <si>
    <t>TRISTAN ASTRO 1968 - Tristan da Cunha</t>
  </si>
  <si>
    <t>TDC</t>
  </si>
  <si>
    <t>ANNA 1 ASTRO 1965 - Cocos Islands</t>
  </si>
  <si>
    <t>Oceano Indico</t>
  </si>
  <si>
    <t>ANO</t>
  </si>
  <si>
    <t>GAN 1970 - Republic of Maldives</t>
  </si>
  <si>
    <t>GAA</t>
  </si>
  <si>
    <t>ISTS 073 ASTRO 1969 - Diego Garcia</t>
  </si>
  <si>
    <t>IST</t>
  </si>
  <si>
    <t>KERGUELEN ISLAND 1949 - Kerguelen Island</t>
  </si>
  <si>
    <t>KEG</t>
  </si>
  <si>
    <t>MAHE 1971 - Mahe Island</t>
  </si>
  <si>
    <t>MIK</t>
  </si>
  <si>
    <t>REUNION - Mascarene Islands</t>
  </si>
  <si>
    <t>REU</t>
  </si>
  <si>
    <t>AMERICAN SAMOA 1962 - American Samoa Islands</t>
  </si>
  <si>
    <t>Oceano Pacifico</t>
  </si>
  <si>
    <t>AMA</t>
  </si>
  <si>
    <t>ASTRO BEACON “E” - Iwo Jima</t>
  </si>
  <si>
    <t>ATF</t>
  </si>
  <si>
    <t>ASTRO TERN ISLAND (FRIG) 1961 - Tern Island</t>
  </si>
  <si>
    <t>TRN</t>
  </si>
  <si>
    <t>ASTRONOMICAL STATION 1952 - Marcus Island</t>
  </si>
  <si>
    <t>ASQ</t>
  </si>
  <si>
    <t>BELLEVUE (IGN) - Efate and Erromango Islands</t>
  </si>
  <si>
    <t>IBE</t>
  </si>
  <si>
    <t>CANTON ASTRO 1966 - Phoenix Islands</t>
  </si>
  <si>
    <t>CAO</t>
  </si>
  <si>
    <t>CHATHAM ISLAND - ASTRO 1971 - Chatham Island (New Zealand)</t>
  </si>
  <si>
    <t>CHI</t>
  </si>
  <si>
    <t>DOS 1968 - Gizo Island (New Georgia Islands)</t>
  </si>
  <si>
    <t>GIZ</t>
  </si>
  <si>
    <t>EASTER ISLAND 1967 - Easter Island</t>
  </si>
  <si>
    <t>EAS</t>
  </si>
  <si>
    <t>GEODETIC DATUM - New Zealand</t>
  </si>
  <si>
    <t>GEO</t>
  </si>
  <si>
    <t>GUAM 1963 - Guam</t>
  </si>
  <si>
    <t>GUA</t>
  </si>
  <si>
    <t>GUX l ASTRO - Guadalcanal Island</t>
  </si>
  <si>
    <t>DOB</t>
  </si>
  <si>
    <t>JOHNSTON ISLAND - Johnston Island</t>
  </si>
  <si>
    <t>JOH</t>
  </si>
  <si>
    <t>KUSAIE ASTRO 1951 - Caroline Islands, Fed. States of Micronesia</t>
  </si>
  <si>
    <t>KUS</t>
  </si>
  <si>
    <t>LUZON - Philippines (Excluding Mindanao Island)</t>
  </si>
  <si>
    <t>LUZ-A</t>
  </si>
  <si>
    <t>LUZON - Mindanao Island</t>
  </si>
  <si>
    <t>LUZ-B</t>
  </si>
  <si>
    <t>MIDWAY ASTRO 1961 - Midway Islands</t>
  </si>
  <si>
    <t>MID</t>
  </si>
  <si>
    <t>OLD HAWAIIAN - Mean Solution</t>
  </si>
  <si>
    <t>OHA-M</t>
  </si>
  <si>
    <t>OLD HAWAIIAN - Hawaii</t>
  </si>
  <si>
    <t>OHA-A</t>
  </si>
  <si>
    <t>OLD HAWAIIAN - Kauai</t>
  </si>
  <si>
    <t>OHA-B</t>
  </si>
  <si>
    <t>OLD HAWAIIAN - Maui</t>
  </si>
  <si>
    <t>OHA-C</t>
  </si>
  <si>
    <t>OLD HAWAIIAN - Oahu</t>
  </si>
  <si>
    <t>OHA-D</t>
  </si>
  <si>
    <t>OHI-M</t>
  </si>
  <si>
    <t>OHI-B</t>
  </si>
  <si>
    <t>OHI-C</t>
  </si>
  <si>
    <t>OHI-D</t>
  </si>
  <si>
    <t>PITCAIRN ASTRO - Pitcairn Island</t>
  </si>
  <si>
    <t>PIT</t>
  </si>
  <si>
    <t>SANTO (DOS) 1965 - Espirito Santo Island</t>
  </si>
  <si>
    <t>SAE</t>
  </si>
  <si>
    <t>VITI LEVU 1916 - Viti Levu Island (Fiji Islands)</t>
  </si>
  <si>
    <t>MVS</t>
  </si>
  <si>
    <t>WAKE-ENIWETOK 1960 - Marshall Islands</t>
  </si>
  <si>
    <t>ENW</t>
  </si>
  <si>
    <t>Hough</t>
  </si>
  <si>
    <t>WAKE ISLAND ASTRO 1952 - Wake Atoll</t>
  </si>
  <si>
    <t>WAK</t>
  </si>
  <si>
    <t>BUKIT RIMPAH - Bangka and Belitung Islands (Indonesia)</t>
  </si>
  <si>
    <t>BUR</t>
  </si>
  <si>
    <t>CAMP AREA ASTRO - Camp McMurdo Area, Antarctica</t>
  </si>
  <si>
    <t>America del Sur</t>
  </si>
  <si>
    <t>CAZ</t>
  </si>
  <si>
    <t>EUROPEAN 1950 - Iraq, Israel, Jordan Kuwait, Lebanon, Saudi Arabia and Syria</t>
  </si>
  <si>
    <t>EUR-S</t>
  </si>
  <si>
    <t>GUNUNG SEGARA - Kalimantan (Indonesia)</t>
  </si>
  <si>
    <t>GSE</t>
  </si>
  <si>
    <t>HERAT NORTH - Afghanistan</t>
  </si>
  <si>
    <t>HEN</t>
  </si>
  <si>
    <t>HERMANNSKOGEL - Yugoslavia (Prior to 1990) Slovenia, Croatia, Bosnia and Herzegovina and Serbia</t>
  </si>
  <si>
    <t>HER</t>
  </si>
  <si>
    <t>INDIAN - Pakistan</t>
  </si>
  <si>
    <t>IND-P</t>
  </si>
  <si>
    <t>PULKOVO 1942 - Russia</t>
  </si>
  <si>
    <t>PUK</t>
  </si>
  <si>
    <t>TANANARIVE OBSERVATORY 1925 - Madagascar</t>
  </si>
  <si>
    <t>TAN</t>
  </si>
  <si>
    <t>VOIROL 1874 - Tunisia and Algeria</t>
  </si>
  <si>
    <t>VOI</t>
  </si>
  <si>
    <t>YACARE - Uruguay</t>
  </si>
  <si>
    <t>YAC</t>
  </si>
  <si>
    <t>DATUM ORIGEN</t>
  </si>
  <si>
    <t>DATUM DESTINO</t>
  </si>
  <si>
    <t>WGS84</t>
  </si>
  <si>
    <t>Global</t>
  </si>
  <si>
    <t>Origen</t>
  </si>
  <si>
    <t>Destino</t>
  </si>
  <si>
    <t>DATOS DE ELIPSOIDE WGS84</t>
  </si>
  <si>
    <t>Seje mayor</t>
  </si>
  <si>
    <t>Seje menor</t>
  </si>
  <si>
    <t>Aplanamiento</t>
  </si>
  <si>
    <t>∆ϕ</t>
  </si>
  <si>
    <t>ϕₒ  radianes</t>
  </si>
  <si>
    <t>λₒ  radianes</t>
  </si>
  <si>
    <t xml:space="preserve">∆f </t>
  </si>
  <si>
    <t>∆λ</t>
  </si>
  <si>
    <t>∆h</t>
  </si>
  <si>
    <t>Coordenadas en Datum ORIGEN - WGS84</t>
  </si>
  <si>
    <t>Y</t>
  </si>
  <si>
    <t>X</t>
  </si>
  <si>
    <t>Yci</t>
  </si>
  <si>
    <t>Xci</t>
  </si>
  <si>
    <t>DATOS DE ELIPSOIDE CI96</t>
  </si>
  <si>
    <t>WGS84 -&gt; CI96</t>
  </si>
  <si>
    <t>CI96 -&gt; WGS84</t>
  </si>
  <si>
    <r>
      <t>exentricidad</t>
    </r>
    <r>
      <rPr>
        <b/>
        <sz val="11"/>
        <color theme="1"/>
        <rFont val="Calibri"/>
        <family val="2"/>
      </rPr>
      <t>²</t>
    </r>
  </si>
  <si>
    <t>Coordenadas en Datum ORIGEN - CI69</t>
  </si>
  <si>
    <t>Coordenadas en Datum DESTINO - WGS84</t>
  </si>
  <si>
    <t>Coordenadas en Datum DESTINO - CI69</t>
  </si>
  <si>
    <t>Error Lat</t>
  </si>
  <si>
    <t>Error Lon</t>
  </si>
  <si>
    <t>T1          (∆x sen ϕₒ cos λₒ)</t>
  </si>
  <si>
    <t>T2          (∆x sen ϕₒ cos λₒ)</t>
  </si>
  <si>
    <t>T3          (∆z cos ϕₒ)</t>
  </si>
  <si>
    <t>T4          ((∆a/aₒ)(N e² sen ϕo cos ϕₒ))</t>
  </si>
  <si>
    <t>N  Radio de curvatura en el primer vertical</t>
  </si>
  <si>
    <t>T5          (∆f((M aₒ/bₒ)+(N bₒ/aₒ)sen ϕo cos ϕₒ))</t>
  </si>
  <si>
    <r>
      <t>∆ϕ= (1/(M+h</t>
    </r>
    <r>
      <rPr>
        <sz val="11"/>
        <color theme="1"/>
        <rFont val="Calibri"/>
        <family val="2"/>
      </rPr>
      <t>ₒ</t>
    </r>
    <r>
      <rPr>
        <sz val="11"/>
        <color theme="1"/>
        <rFont val="Calibri"/>
        <family val="2"/>
        <scheme val="minor"/>
      </rPr>
      <t>)) * (-(</t>
    </r>
    <r>
      <rPr>
        <sz val="11"/>
        <color theme="1"/>
        <rFont val="Calibri"/>
        <family val="2"/>
      </rPr>
      <t>∆x sen ϕₒ</t>
    </r>
    <r>
      <rPr>
        <sz val="11"/>
        <color theme="1"/>
        <rFont val="Calibri"/>
        <family val="2"/>
        <scheme val="minor"/>
      </rPr>
      <t xml:space="preserve"> cos λₒ) -(∆y sen ϕₒ sen λₒ) +(∆z cos ϕₒ) +((∆a/aₒ)(N e² sen ϕo cos ϕₒ))+(∆f((M aₒ/bₒ)+(N bₒ/aₒ)sen ϕo cos ϕₒ))</t>
    </r>
  </si>
  <si>
    <t>∆λ= (-(∆x sen λₒ) +(∆y cos λₒ)) / (N+hₒ) cos ϕₒ     Local a Wgs84</t>
  </si>
  <si>
    <t>∆ϕ= (1/(M+hₒ)) * (-T1 -T2 +T3 +T4+T5)                    Local a Wgs84</t>
  </si>
  <si>
    <t>M Radio de curvatura meridiano</t>
  </si>
  <si>
    <r>
      <t xml:space="preserve">∆h= </t>
    </r>
    <r>
      <rPr>
        <sz val="8"/>
        <color theme="1"/>
        <rFont val="Calibri"/>
        <family val="2"/>
        <scheme val="minor"/>
      </rPr>
      <t>(∆x cos ϕₒ sen ϕₒ) + (∆y cos ϕₒ sen λₒ) + (∆ysen ϕ</t>
    </r>
    <r>
      <rPr>
        <sz val="8"/>
        <color theme="1"/>
        <rFont val="Calibri"/>
        <family val="2"/>
      </rPr>
      <t>ₒ) - (∆a a/N) + (∆f bₒ/aₒ N sen² ϕₒ)</t>
    </r>
  </si>
  <si>
    <t>Wgs84 a Local</t>
  </si>
  <si>
    <t>CI69</t>
  </si>
  <si>
    <t>1/f</t>
  </si>
  <si>
    <t>a</t>
  </si>
  <si>
    <t>Int1924</t>
  </si>
  <si>
    <t>f</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</si>
</sst>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0000000"/>
    <numFmt numFmtId="166" formatCode="0.0000000000"/>
    <numFmt numFmtId="167" formatCode="0.00000000000000000"/>
    <numFmt numFmtId="168" formatCode="0.000000"/>
    <numFmt numFmtId="169" formatCode="0.0000000000000000000"/>
    <numFmt numFmtId="170" formatCode="0.0000"/>
    <numFmt numFmtId="171" formatCode="0.00000E+00"/>
    <numFmt numFmtId="172" formatCode="0.00000"/>
    <numFmt numFmtId="173" formatCode="0.000000000000"/>
    <numFmt numFmtId="174" formatCode="0.0000000000000"/>
    <numFmt numFmtId="175" formatCode="0.000000000000000000000"/>
    <numFmt numFmtId="176" formatCode="0.0000000"/>
  </numFmts>
  <fonts count="6" x14ac:knownFonts="1">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8"/>
      <color theme="1"/>
      <name val="Calibri"/>
      <family val="2"/>
      <scheme val="minor"/>
    </font>
    <font>
      <sz val="8"/>
      <color theme="1"/>
      <name val="Calibri"/>
      <family val="2"/>
    </font>
  </fonts>
  <fills count="5">
    <fill>
      <patternFill patternType="none"/>
    </fill>
    <fill>
      <patternFill patternType="gray125"/>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74">
    <xf numFmtId="0" fontId="0" fillId="0" borderId="0" xfId="0"/>
    <xf numFmtId="0" fontId="1" fillId="0" borderId="0" xfId="0" applyFont="1"/>
    <xf numFmtId="0" fontId="2" fillId="0" borderId="0" xfId="0" applyFont="1"/>
    <xf numFmtId="0" fontId="2" fillId="0" borderId="1" xfId="0" applyFont="1" applyBorder="1" applyAlignment="1">
      <alignment horizontal="center"/>
    </xf>
    <xf numFmtId="0" fontId="0" fillId="0" borderId="1" xfId="0" applyBorder="1" applyAlignment="1">
      <alignment horizontal="center"/>
    </xf>
    <xf numFmtId="0" fontId="0" fillId="0" borderId="1" xfId="0" applyBorder="1"/>
    <xf numFmtId="164" fontId="0" fillId="0" borderId="0" xfId="0" applyNumberFormat="1"/>
    <xf numFmtId="165" fontId="0" fillId="0" borderId="0" xfId="0" applyNumberFormat="1"/>
    <xf numFmtId="164" fontId="2" fillId="0" borderId="1" xfId="0" applyNumberFormat="1" applyFont="1" applyBorder="1" applyAlignment="1">
      <alignment horizontal="center" vertical="center"/>
    </xf>
    <xf numFmtId="165" fontId="2" fillId="0" borderId="1" xfId="0" applyNumberFormat="1" applyFont="1" applyBorder="1" applyAlignment="1">
      <alignment horizontal="center" vertical="center"/>
    </xf>
    <xf numFmtId="0" fontId="2" fillId="0" borderId="1" xfId="0" applyFont="1" applyBorder="1" applyAlignment="1">
      <alignment horizontal="center" vertical="center"/>
    </xf>
    <xf numFmtId="0" fontId="3" fillId="0" borderId="0" xfId="0" applyFont="1"/>
    <xf numFmtId="0" fontId="2" fillId="0" borderId="0" xfId="0" applyFont="1" applyFill="1" applyBorder="1" applyAlignment="1">
      <alignment horizontal="center"/>
    </xf>
    <xf numFmtId="0" fontId="0" fillId="0" borderId="0" xfId="0" applyBorder="1"/>
    <xf numFmtId="0" fontId="2" fillId="0" borderId="1" xfId="0" applyFont="1" applyFill="1" applyBorder="1" applyAlignment="1">
      <alignment horizontal="center"/>
    </xf>
    <xf numFmtId="166" fontId="0" fillId="0" borderId="0" xfId="0" applyNumberFormat="1"/>
    <xf numFmtId="167" fontId="0" fillId="0" borderId="0" xfId="0" applyNumberFormat="1"/>
    <xf numFmtId="0" fontId="1" fillId="0" borderId="1" xfId="0" applyFont="1" applyBorder="1" applyAlignment="1">
      <alignment horizontal="center"/>
    </xf>
    <xf numFmtId="168" fontId="0" fillId="2" borderId="1" xfId="0" applyNumberFormat="1" applyFill="1" applyBorder="1"/>
    <xf numFmtId="165" fontId="0" fillId="2" borderId="1" xfId="0" applyNumberFormat="1" applyFill="1" applyBorder="1"/>
    <xf numFmtId="169" fontId="0" fillId="0" borderId="1" xfId="0" applyNumberFormat="1" applyBorder="1"/>
    <xf numFmtId="167" fontId="0" fillId="0" borderId="1" xfId="0" applyNumberFormat="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1" xfId="0" quotePrefix="1" applyBorder="1"/>
    <xf numFmtId="0" fontId="0" fillId="0" borderId="8" xfId="0" applyBorder="1"/>
    <xf numFmtId="0" fontId="0" fillId="0" borderId="9" xfId="0" applyBorder="1"/>
    <xf numFmtId="0" fontId="0" fillId="0" borderId="10" xfId="0" applyBorder="1"/>
    <xf numFmtId="0" fontId="2" fillId="0" borderId="2" xfId="0" applyFont="1" applyBorder="1" applyAlignment="1">
      <alignment horizontal="left"/>
    </xf>
    <xf numFmtId="0" fontId="2" fillId="0" borderId="8" xfId="0" applyFont="1" applyBorder="1" applyAlignment="1">
      <alignment horizontal="left"/>
    </xf>
    <xf numFmtId="0" fontId="0" fillId="4" borderId="1" xfId="0" applyFill="1" applyBorder="1"/>
    <xf numFmtId="170" fontId="0" fillId="0" borderId="11" xfId="0" applyNumberFormat="1" applyBorder="1" applyAlignment="1">
      <alignment vertical="center" wrapText="1"/>
    </xf>
    <xf numFmtId="0" fontId="0" fillId="0" borderId="11" xfId="0" applyBorder="1" applyAlignment="1">
      <alignment horizontal="center" vertical="center" wrapText="1"/>
    </xf>
    <xf numFmtId="0" fontId="0" fillId="3" borderId="1" xfId="0" applyFill="1" applyBorder="1"/>
    <xf numFmtId="0" fontId="0" fillId="0" borderId="0" xfId="0" applyFill="1" applyBorder="1"/>
    <xf numFmtId="0" fontId="0" fillId="0" borderId="1" xfId="0" applyFill="1" applyBorder="1" applyAlignment="1">
      <alignment horizontal="center"/>
    </xf>
    <xf numFmtId="0" fontId="0" fillId="0" borderId="12" xfId="0" applyBorder="1"/>
    <xf numFmtId="0" fontId="0" fillId="0" borderId="13" xfId="0" applyBorder="1"/>
    <xf numFmtId="0" fontId="0" fillId="0" borderId="14" xfId="0" applyBorder="1"/>
    <xf numFmtId="0" fontId="0" fillId="0" borderId="15" xfId="0" applyBorder="1"/>
    <xf numFmtId="0" fontId="0" fillId="0" borderId="4" xfId="0" applyBorder="1" applyAlignment="1">
      <alignment vertical="center"/>
    </xf>
    <xf numFmtId="0" fontId="0" fillId="0" borderId="3" xfId="0" applyBorder="1" applyAlignment="1">
      <alignment vertical="center"/>
    </xf>
    <xf numFmtId="0" fontId="3" fillId="0" borderId="2" xfId="0" applyFont="1" applyBorder="1" applyAlignment="1">
      <alignment horizontal="left"/>
    </xf>
    <xf numFmtId="0" fontId="1" fillId="0" borderId="3" xfId="0" applyFont="1" applyBorder="1" applyAlignment="1">
      <alignment vertical="center"/>
    </xf>
    <xf numFmtId="0" fontId="1" fillId="0" borderId="4" xfId="0" applyFont="1" applyBorder="1" applyAlignment="1">
      <alignment vertical="center"/>
    </xf>
    <xf numFmtId="0" fontId="1" fillId="0" borderId="4" xfId="0" applyFont="1" applyBorder="1"/>
    <xf numFmtId="0" fontId="0" fillId="0" borderId="16" xfId="0" applyBorder="1"/>
    <xf numFmtId="0" fontId="3" fillId="0" borderId="8" xfId="0" applyFont="1" applyBorder="1" applyAlignment="1">
      <alignment horizontal="left"/>
    </xf>
    <xf numFmtId="0" fontId="1" fillId="0" borderId="9" xfId="0" applyFont="1" applyBorder="1" applyAlignment="1">
      <alignment vertical="center"/>
    </xf>
    <xf numFmtId="0" fontId="1" fillId="0" borderId="10" xfId="0" applyFont="1" applyBorder="1" applyAlignment="1">
      <alignment vertical="center"/>
    </xf>
    <xf numFmtId="0" fontId="1" fillId="0" borderId="10" xfId="0" applyFont="1" applyBorder="1"/>
    <xf numFmtId="0" fontId="2" fillId="0" borderId="17" xfId="0" applyFont="1" applyBorder="1" applyAlignment="1">
      <alignment horizontal="left"/>
    </xf>
    <xf numFmtId="0" fontId="0" fillId="0" borderId="18" xfId="0" applyBorder="1" applyAlignment="1">
      <alignment vertical="center"/>
    </xf>
    <xf numFmtId="0" fontId="0" fillId="0" borderId="19" xfId="0" applyBorder="1" applyAlignment="1">
      <alignment vertical="center"/>
    </xf>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applyAlignment="1">
      <alignment vertical="center"/>
    </xf>
    <xf numFmtId="0" fontId="0" fillId="0" borderId="25" xfId="0" applyBorder="1" applyAlignment="1">
      <alignment vertical="center"/>
    </xf>
    <xf numFmtId="0" fontId="0" fillId="0" borderId="26" xfId="0" applyBorder="1"/>
    <xf numFmtId="173" fontId="0" fillId="0" borderId="0" xfId="0" applyNumberFormat="1"/>
    <xf numFmtId="171" fontId="0" fillId="0" borderId="1" xfId="0" applyNumberFormat="1" applyBorder="1"/>
    <xf numFmtId="172" fontId="0" fillId="0" borderId="1" xfId="0" applyNumberFormat="1" applyBorder="1"/>
    <xf numFmtId="174" fontId="0" fillId="0" borderId="0" xfId="0" applyNumberFormat="1"/>
    <xf numFmtId="175" fontId="0" fillId="0" borderId="0" xfId="0" applyNumberFormat="1"/>
    <xf numFmtId="0" fontId="0" fillId="0" borderId="0" xfId="0" applyBorder="1" applyAlignment="1">
      <alignment horizontal="center"/>
    </xf>
    <xf numFmtId="0" fontId="0" fillId="0" borderId="0" xfId="0" applyFill="1" applyBorder="1" applyAlignment="1">
      <alignment horizontal="center"/>
    </xf>
    <xf numFmtId="0" fontId="2" fillId="0" borderId="1" xfId="0" applyFont="1" applyBorder="1" applyAlignment="1">
      <alignment horizontal="center" vertical="center"/>
    </xf>
    <xf numFmtId="0" fontId="0" fillId="0" borderId="1" xfId="0" applyBorder="1" applyAlignment="1">
      <alignment horizontal="center" vertical="center"/>
    </xf>
    <xf numFmtId="176"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190499</xdr:rowOff>
        </xdr:from>
        <xdr:to>
          <xdr:col>2</xdr:col>
          <xdr:colOff>552450</xdr:colOff>
          <xdr:row>3</xdr:row>
          <xdr:rowOff>47624</xdr:rowOff>
        </xdr:to>
        <xdr:sp macro="" textlink="">
          <xdr:nvSpPr>
            <xdr:cNvPr id="1032" name="Origen"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180975</xdr:rowOff>
        </xdr:from>
        <xdr:to>
          <xdr:col>5</xdr:col>
          <xdr:colOff>704850</xdr:colOff>
          <xdr:row>3</xdr:row>
          <xdr:rowOff>28575</xdr:rowOff>
        </xdr:to>
        <xdr:sp macro="" textlink="">
          <xdr:nvSpPr>
            <xdr:cNvPr id="1033" name="Destino"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1</xdr:row>
          <xdr:rowOff>180975</xdr:rowOff>
        </xdr:from>
        <xdr:to>
          <xdr:col>7</xdr:col>
          <xdr:colOff>1044575</xdr:colOff>
          <xdr:row>3</xdr:row>
          <xdr:rowOff>92075</xdr:rowOff>
        </xdr:to>
        <xdr:sp macro="" textlink="">
          <xdr:nvSpPr>
            <xdr:cNvPr id="1037" name="Estandar"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xdr:row>
          <xdr:rowOff>9525</xdr:rowOff>
        </xdr:from>
        <xdr:to>
          <xdr:col>7</xdr:col>
          <xdr:colOff>1044575</xdr:colOff>
          <xdr:row>5</xdr:row>
          <xdr:rowOff>111125</xdr:rowOff>
        </xdr:to>
        <xdr:sp macro="" textlink="">
          <xdr:nvSpPr>
            <xdr:cNvPr id="1038" name="Reducido"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V24"/>
  <sheetViews>
    <sheetView tabSelected="1" workbookViewId="0">
      <selection activeCell="C21" sqref="C21"/>
    </sheetView>
  </sheetViews>
  <sheetFormatPr baseColWidth="10" defaultRowHeight="15" x14ac:dyDescent="0.25"/>
  <cols>
    <col min="4" max="4" width="12.7109375" bestFit="1" customWidth="1"/>
    <col min="7" max="7" width="16.7109375" customWidth="1"/>
    <col min="8" max="8" width="15.7109375" customWidth="1"/>
    <col min="9" max="9" width="19.5703125" bestFit="1" customWidth="1"/>
    <col min="10" max="10" width="12" bestFit="1" customWidth="1"/>
    <col min="15" max="15" width="29" customWidth="1"/>
    <col min="18" max="18" width="24" customWidth="1"/>
    <col min="22" max="22" width="19.140625" customWidth="1"/>
  </cols>
  <sheetData>
    <row r="1" spans="1:22" x14ac:dyDescent="0.25">
      <c r="A1" s="1" t="s">
        <v>0</v>
      </c>
      <c r="E1" s="2"/>
      <c r="F1" s="2"/>
      <c r="G1" s="2"/>
    </row>
    <row r="2" spans="1:22" x14ac:dyDescent="0.25">
      <c r="A2" s="1" t="s">
        <v>501</v>
      </c>
      <c r="D2" s="11" t="s">
        <v>502</v>
      </c>
      <c r="E2" s="2"/>
      <c r="F2" s="2"/>
      <c r="G2" s="2"/>
      <c r="R2" t="s">
        <v>503</v>
      </c>
      <c r="T2" t="s">
        <v>546</v>
      </c>
    </row>
    <row r="3" spans="1:22" x14ac:dyDescent="0.25">
      <c r="F3" s="2"/>
      <c r="G3" s="2"/>
      <c r="K3" s="5">
        <v>-148</v>
      </c>
      <c r="L3" s="5">
        <v>136</v>
      </c>
      <c r="M3" s="5">
        <v>90</v>
      </c>
      <c r="N3" s="5">
        <v>-251</v>
      </c>
      <c r="O3" s="5">
        <v>-0.14192701999999999</v>
      </c>
      <c r="Q3" t="s">
        <v>545</v>
      </c>
      <c r="R3">
        <v>6378137</v>
      </c>
      <c r="T3">
        <f>R3-D7</f>
        <v>6378388</v>
      </c>
      <c r="V3">
        <f>R3-T3</f>
        <v>-251</v>
      </c>
    </row>
    <row r="4" spans="1:22" x14ac:dyDescent="0.25">
      <c r="F4" s="2"/>
      <c r="G4" s="2"/>
      <c r="Q4" t="s">
        <v>544</v>
      </c>
      <c r="R4">
        <v>298.25722356300003</v>
      </c>
      <c r="T4">
        <v>297.00000000001</v>
      </c>
    </row>
    <row r="5" spans="1:22" x14ac:dyDescent="0.25">
      <c r="A5" s="3" t="s">
        <v>11</v>
      </c>
      <c r="B5" s="3" t="s">
        <v>12</v>
      </c>
      <c r="C5" s="3" t="s">
        <v>13</v>
      </c>
      <c r="D5" s="3" t="s">
        <v>14</v>
      </c>
      <c r="E5" s="3" t="s">
        <v>15</v>
      </c>
      <c r="F5" s="2"/>
      <c r="G5" s="2"/>
      <c r="Q5" t="s">
        <v>547</v>
      </c>
      <c r="R5" s="68">
        <v>3.3528106647474801E-3</v>
      </c>
      <c r="T5">
        <f>1/T4</f>
        <v>3.3670033670032537E-3</v>
      </c>
      <c r="V5" s="67">
        <f>T5-R5</f>
        <v>1.4192702255773609E-5</v>
      </c>
    </row>
    <row r="6" spans="1:22" x14ac:dyDescent="0.25">
      <c r="A6" s="5">
        <v>0</v>
      </c>
      <c r="B6" s="5">
        <v>0</v>
      </c>
      <c r="C6" s="5">
        <v>0</v>
      </c>
      <c r="D6" s="5">
        <v>0</v>
      </c>
      <c r="E6" s="5">
        <v>0</v>
      </c>
      <c r="F6" s="14" t="s">
        <v>505</v>
      </c>
      <c r="G6" s="12"/>
      <c r="O6" s="67">
        <f>O3/POWER(10,4)</f>
        <v>-1.4192701999999999E-5</v>
      </c>
    </row>
    <row r="7" spans="1:22" x14ac:dyDescent="0.25">
      <c r="A7" s="5">
        <v>-148</v>
      </c>
      <c r="B7" s="5">
        <v>136</v>
      </c>
      <c r="C7" s="5">
        <v>90</v>
      </c>
      <c r="D7" s="5">
        <v>-251</v>
      </c>
      <c r="E7" s="5">
        <v>-0.14192701999999999</v>
      </c>
      <c r="F7" s="4" t="s">
        <v>506</v>
      </c>
      <c r="G7" s="13"/>
    </row>
    <row r="8" spans="1:22" x14ac:dyDescent="0.25">
      <c r="A8" s="69" t="s">
        <v>6</v>
      </c>
      <c r="B8" s="69"/>
      <c r="C8" s="69"/>
      <c r="D8" s="69" t="s">
        <v>7</v>
      </c>
      <c r="E8" s="69"/>
      <c r="F8" s="69"/>
    </row>
    <row r="9" spans="1:22" x14ac:dyDescent="0.25">
      <c r="A9" s="3" t="s">
        <v>3</v>
      </c>
      <c r="B9" s="3" t="s">
        <v>4</v>
      </c>
      <c r="C9" s="4" t="s">
        <v>5</v>
      </c>
      <c r="D9" s="3" t="s">
        <v>8</v>
      </c>
      <c r="E9" s="3" t="s">
        <v>9</v>
      </c>
      <c r="F9" s="4" t="s">
        <v>10</v>
      </c>
      <c r="J9" s="70" t="s">
        <v>503</v>
      </c>
      <c r="K9" s="70"/>
      <c r="L9" s="70" t="s">
        <v>543</v>
      </c>
      <c r="M9" s="70"/>
    </row>
    <row r="10" spans="1:22" x14ac:dyDescent="0.25">
      <c r="A10" s="73">
        <v>-53.812728963601103</v>
      </c>
      <c r="B10">
        <v>-67.644025935375694</v>
      </c>
      <c r="D10" s="73">
        <v>-53.81266918230633</v>
      </c>
      <c r="E10">
        <v>-67.642733212652985</v>
      </c>
      <c r="F10">
        <v>-11.558765161751538</v>
      </c>
      <c r="G10" s="64"/>
      <c r="H10" s="64"/>
      <c r="J10">
        <v>-53.812788636602399</v>
      </c>
      <c r="K10">
        <v>-67.645318607671896</v>
      </c>
      <c r="L10">
        <v>-53.812728963601103</v>
      </c>
      <c r="M10">
        <v>-67.644025935375694</v>
      </c>
    </row>
    <row r="11" spans="1:22" x14ac:dyDescent="0.25">
      <c r="A11">
        <v>-53.821229136895603</v>
      </c>
      <c r="B11">
        <v>-67.649249858424696</v>
      </c>
      <c r="D11">
        <v>-53.821169098768415</v>
      </c>
      <c r="E11">
        <v>-67.64795662201108</v>
      </c>
      <c r="F11">
        <v>-11.564312254417871</v>
      </c>
      <c r="G11" s="64"/>
      <c r="H11" s="64"/>
      <c r="J11">
        <v>-53.821289065428701</v>
      </c>
      <c r="K11">
        <v>-67.650543039946598</v>
      </c>
      <c r="L11">
        <v>-53.821229136895603</v>
      </c>
      <c r="M11">
        <v>-67.649249858424696</v>
      </c>
    </row>
    <row r="12" spans="1:22" x14ac:dyDescent="0.25">
      <c r="A12">
        <v>-53.824947945174699</v>
      </c>
      <c r="B12">
        <v>-67.659384857084703</v>
      </c>
      <c r="D12" s="73">
        <v>-53.824887879316819</v>
      </c>
      <c r="E12">
        <v>-67.658091017083791</v>
      </c>
      <c r="F12">
        <v>-11.57362878000167</v>
      </c>
      <c r="G12" s="64"/>
      <c r="H12" s="64"/>
      <c r="J12">
        <v>-53.825007899700999</v>
      </c>
      <c r="K12">
        <v>-67.660678647205302</v>
      </c>
      <c r="L12">
        <v>-53.824947945174699</v>
      </c>
      <c r="M12">
        <v>-67.659384857084703</v>
      </c>
    </row>
    <row r="13" spans="1:22" x14ac:dyDescent="0.25">
      <c r="A13">
        <v>-53.803712411314102</v>
      </c>
      <c r="B13">
        <v>-67.647584874140705</v>
      </c>
      <c r="D13" s="73">
        <v>-53.803653000480487</v>
      </c>
      <c r="E13">
        <v>-67.646292257117651</v>
      </c>
      <c r="F13">
        <v>-11.560871896737133</v>
      </c>
      <c r="G13" s="64"/>
      <c r="H13" s="64"/>
      <c r="J13">
        <v>-53.8037717136773</v>
      </c>
      <c r="K13">
        <v>-67.648877416991596</v>
      </c>
      <c r="L13">
        <v>-53.803712411314102</v>
      </c>
      <c r="M13">
        <v>-67.647584874140705</v>
      </c>
    </row>
    <row r="14" spans="1:22" x14ac:dyDescent="0.25">
      <c r="A14">
        <v>-53.803726323283399</v>
      </c>
      <c r="B14">
        <v>-67.664518308413605</v>
      </c>
      <c r="D14" s="73">
        <v>-53.803667094485249</v>
      </c>
      <c r="E14">
        <v>-67.66322487426109</v>
      </c>
      <c r="F14">
        <v>-11.575741253225964</v>
      </c>
      <c r="G14" s="64"/>
      <c r="H14" s="64"/>
      <c r="J14">
        <v>-53.803785443406397</v>
      </c>
      <c r="K14">
        <v>-67.665811671415298</v>
      </c>
      <c r="L14">
        <v>-53.803726323283399</v>
      </c>
      <c r="M14">
        <v>-67.664518308413605</v>
      </c>
    </row>
    <row r="15" spans="1:22" x14ac:dyDescent="0.25">
      <c r="G15" s="64"/>
      <c r="H15" s="64"/>
    </row>
    <row r="24" spans="4:4" x14ac:dyDescent="0.25">
      <c r="D24" s="73"/>
    </row>
  </sheetData>
  <mergeCells count="4">
    <mergeCell ref="A8:C8"/>
    <mergeCell ref="D8:F8"/>
    <mergeCell ref="J9:K9"/>
    <mergeCell ref="L9:M9"/>
  </mergeCells>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38" r:id="rId4" name="Reducido">
          <controlPr defaultSize="0" autoLine="0" r:id="rId5">
            <anchor moveWithCells="1">
              <from>
                <xdr:col>6</xdr:col>
                <xdr:colOff>1028700</xdr:colOff>
                <xdr:row>4</xdr:row>
                <xdr:rowOff>9525</xdr:rowOff>
              </from>
              <to>
                <xdr:col>7</xdr:col>
                <xdr:colOff>1038225</xdr:colOff>
                <xdr:row>5</xdr:row>
                <xdr:rowOff>114300</xdr:rowOff>
              </to>
            </anchor>
          </controlPr>
        </control>
      </mc:Choice>
      <mc:Fallback>
        <control shapeId="1038" r:id="rId4" name="Reducido"/>
      </mc:Fallback>
    </mc:AlternateContent>
    <mc:AlternateContent xmlns:mc="http://schemas.openxmlformats.org/markup-compatibility/2006">
      <mc:Choice Requires="x14">
        <control shapeId="1037" r:id="rId6" name="Estandar">
          <controlPr defaultSize="0" autoLine="0" r:id="rId7">
            <anchor moveWithCells="1">
              <from>
                <xdr:col>6</xdr:col>
                <xdr:colOff>1028700</xdr:colOff>
                <xdr:row>1</xdr:row>
                <xdr:rowOff>180975</xdr:rowOff>
              </from>
              <to>
                <xdr:col>7</xdr:col>
                <xdr:colOff>1038225</xdr:colOff>
                <xdr:row>3</xdr:row>
                <xdr:rowOff>85725</xdr:rowOff>
              </to>
            </anchor>
          </controlPr>
        </control>
      </mc:Choice>
      <mc:Fallback>
        <control shapeId="1037" r:id="rId6" name="Estandar"/>
      </mc:Fallback>
    </mc:AlternateContent>
    <mc:AlternateContent xmlns:mc="http://schemas.openxmlformats.org/markup-compatibility/2006">
      <mc:Choice Requires="x14">
        <control shapeId="1032" r:id="rId8" name="Origen">
          <controlPr defaultSize="0" autoLine="0" r:id="rId9">
            <anchor moveWithCells="1">
              <from>
                <xdr:col>0</xdr:col>
                <xdr:colOff>0</xdr:colOff>
                <xdr:row>2</xdr:row>
                <xdr:rowOff>0</xdr:rowOff>
              </from>
              <to>
                <xdr:col>2</xdr:col>
                <xdr:colOff>552450</xdr:colOff>
                <xdr:row>3</xdr:row>
                <xdr:rowOff>47625</xdr:rowOff>
              </to>
            </anchor>
          </controlPr>
        </control>
      </mc:Choice>
      <mc:Fallback>
        <control shapeId="1032" r:id="rId8" name="Origen"/>
      </mc:Fallback>
    </mc:AlternateContent>
    <mc:AlternateContent xmlns:mc="http://schemas.openxmlformats.org/markup-compatibility/2006">
      <mc:Choice Requires="x14">
        <control shapeId="1033" r:id="rId10" name="Destino">
          <controlPr defaultSize="0" autoLine="0" r:id="rId11">
            <anchor moveWithCells="1">
              <from>
                <xdr:col>3</xdr:col>
                <xdr:colOff>0</xdr:colOff>
                <xdr:row>1</xdr:row>
                <xdr:rowOff>180975</xdr:rowOff>
              </from>
              <to>
                <xdr:col>5</xdr:col>
                <xdr:colOff>704850</xdr:colOff>
                <xdr:row>3</xdr:row>
                <xdr:rowOff>28575</xdr:rowOff>
              </to>
            </anchor>
          </controlPr>
        </control>
      </mc:Choice>
      <mc:Fallback>
        <control shapeId="1033" r:id="rId10" name="Destin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40"/>
  <sheetViews>
    <sheetView topLeftCell="A10" workbookViewId="0">
      <selection activeCell="D46" sqref="D46"/>
    </sheetView>
  </sheetViews>
  <sheetFormatPr baseColWidth="10" defaultRowHeight="15" x14ac:dyDescent="0.25"/>
  <cols>
    <col min="1" max="1" width="19.7109375" customWidth="1"/>
    <col min="2" max="2" width="19" customWidth="1"/>
    <col min="3" max="3" width="21.85546875" bestFit="1" customWidth="1"/>
    <col min="4" max="4" width="19.7109375" bestFit="1" customWidth="1"/>
    <col min="5" max="5" width="16.7109375" bestFit="1" customWidth="1"/>
    <col min="6" max="6" width="17.7109375" bestFit="1" customWidth="1"/>
    <col min="7" max="7" width="12.42578125" customWidth="1"/>
    <col min="8" max="8" width="16.7109375" bestFit="1" customWidth="1"/>
    <col min="9" max="11" width="13.5703125" bestFit="1" customWidth="1"/>
  </cols>
  <sheetData>
    <row r="1" spans="1:9" x14ac:dyDescent="0.25">
      <c r="A1" t="s">
        <v>507</v>
      </c>
      <c r="C1" s="15"/>
      <c r="D1" s="16"/>
    </row>
    <row r="2" spans="1:9" x14ac:dyDescent="0.25">
      <c r="A2" s="17" t="s">
        <v>508</v>
      </c>
      <c r="B2" s="17" t="s">
        <v>509</v>
      </c>
      <c r="C2" s="17" t="s">
        <v>510</v>
      </c>
      <c r="D2" s="17" t="s">
        <v>525</v>
      </c>
    </row>
    <row r="3" spans="1:9" x14ac:dyDescent="0.25">
      <c r="A3" s="18">
        <v>6378137</v>
      </c>
      <c r="B3" s="19"/>
      <c r="C3" s="20">
        <v>3.3528106647473521E-3</v>
      </c>
      <c r="D3" s="21">
        <f>C3*(2-C3)</f>
        <v>6.6943799901410606E-3</v>
      </c>
    </row>
    <row r="4" spans="1:9" x14ac:dyDescent="0.25">
      <c r="A4" t="s">
        <v>522</v>
      </c>
    </row>
    <row r="5" spans="1:9" x14ac:dyDescent="0.25">
      <c r="A5" s="17" t="s">
        <v>508</v>
      </c>
      <c r="B5" s="17" t="s">
        <v>509</v>
      </c>
      <c r="C5" s="17" t="s">
        <v>510</v>
      </c>
      <c r="D5" s="17" t="s">
        <v>525</v>
      </c>
    </row>
    <row r="6" spans="1:9" x14ac:dyDescent="0.25">
      <c r="A6" s="18">
        <f>A3-D9</f>
        <v>6378388</v>
      </c>
      <c r="B6" s="19"/>
      <c r="C6" s="20">
        <f>C3-(E9/(10^4))</f>
        <v>3.367003366747352E-3</v>
      </c>
      <c r="D6" s="21">
        <f>C6*(2-C6)</f>
        <v>6.7226700218230157E-3</v>
      </c>
    </row>
    <row r="8" spans="1:9" x14ac:dyDescent="0.25">
      <c r="A8" s="3" t="s">
        <v>11</v>
      </c>
      <c r="B8" s="3" t="s">
        <v>12</v>
      </c>
      <c r="C8" s="3" t="s">
        <v>13</v>
      </c>
      <c r="D8" s="3" t="s">
        <v>14</v>
      </c>
      <c r="E8" s="3" t="s">
        <v>15</v>
      </c>
      <c r="F8" s="2"/>
    </row>
    <row r="9" spans="1:9" x14ac:dyDescent="0.25">
      <c r="A9" s="33">
        <v>-148</v>
      </c>
      <c r="B9" s="33">
        <v>136</v>
      </c>
      <c r="C9" s="33">
        <v>90</v>
      </c>
      <c r="D9" s="33">
        <v>-251</v>
      </c>
      <c r="E9" s="33">
        <v>-0.14192701999999999</v>
      </c>
      <c r="F9" s="4" t="s">
        <v>506</v>
      </c>
    </row>
    <row r="10" spans="1:9" x14ac:dyDescent="0.25">
      <c r="A10" s="69" t="s">
        <v>517</v>
      </c>
      <c r="B10" s="69"/>
      <c r="C10" s="69"/>
      <c r="D10" s="69" t="s">
        <v>528</v>
      </c>
      <c r="E10" s="69"/>
      <c r="F10" s="69"/>
    </row>
    <row r="11" spans="1:9" x14ac:dyDescent="0.25">
      <c r="A11" s="3" t="s">
        <v>3</v>
      </c>
      <c r="B11" s="3" t="s">
        <v>4</v>
      </c>
      <c r="C11" s="4" t="s">
        <v>5</v>
      </c>
      <c r="D11" s="3" t="s">
        <v>8</v>
      </c>
      <c r="E11" s="3" t="s">
        <v>9</v>
      </c>
      <c r="F11" s="4" t="s">
        <v>10</v>
      </c>
      <c r="H11" s="38" t="s">
        <v>529</v>
      </c>
      <c r="I11" s="38" t="s">
        <v>530</v>
      </c>
    </row>
    <row r="12" spans="1:9" x14ac:dyDescent="0.25">
      <c r="A12" s="33">
        <v>-53.812728963601103</v>
      </c>
      <c r="B12" s="33">
        <v>-67.644025935375694</v>
      </c>
      <c r="C12" s="33"/>
      <c r="D12" s="36">
        <f>(D19+D31)*180/PI()</f>
        <v>-53.812669249013311</v>
      </c>
      <c r="E12" s="36">
        <f>(D20+D32)*180/PI()</f>
        <v>-67.642733275488624</v>
      </c>
      <c r="F12" s="36">
        <f>C12+D33</f>
        <v>-11.416964412157434</v>
      </c>
      <c r="H12" s="5">
        <f>J27-D12</f>
        <v>1.5452095732086946E-3</v>
      </c>
      <c r="I12" s="5">
        <f>K27-E12</f>
        <v>-2.8016123809180726E-2</v>
      </c>
    </row>
    <row r="13" spans="1:9" x14ac:dyDescent="0.25">
      <c r="A13" s="69" t="s">
        <v>526</v>
      </c>
      <c r="B13" s="69"/>
      <c r="C13" s="69"/>
      <c r="D13" s="69" t="s">
        <v>527</v>
      </c>
      <c r="E13" s="69"/>
      <c r="F13" s="69"/>
    </row>
    <row r="14" spans="1:9" x14ac:dyDescent="0.25">
      <c r="A14" s="3" t="s">
        <v>3</v>
      </c>
      <c r="B14" s="3" t="s">
        <v>4</v>
      </c>
      <c r="C14" s="4" t="s">
        <v>5</v>
      </c>
      <c r="D14" s="3" t="s">
        <v>8</v>
      </c>
      <c r="E14" s="3" t="s">
        <v>9</v>
      </c>
      <c r="F14" s="4" t="s">
        <v>10</v>
      </c>
    </row>
    <row r="15" spans="1:9" x14ac:dyDescent="0.25">
      <c r="A15" s="33">
        <v>-53.81266918230633</v>
      </c>
      <c r="B15" s="33">
        <v>-67.642733212652985</v>
      </c>
      <c r="C15" s="33"/>
      <c r="D15" s="36">
        <f>(E19+E28)*180/PI()</f>
        <v>-53.812728841919807</v>
      </c>
      <c r="E15" s="36">
        <f>(E20+E29)*180/PI()</f>
        <v>-67.644025745508358</v>
      </c>
      <c r="F15" s="36">
        <f>C15+E30</f>
        <v>11.411481331033734</v>
      </c>
      <c r="H15" s="65">
        <f>H27-D15</f>
        <v>1.545480777409125E-3</v>
      </c>
      <c r="I15" s="5">
        <f>I27-E15</f>
        <v>-2.8017557777644697E-2</v>
      </c>
    </row>
    <row r="16" spans="1:9" x14ac:dyDescent="0.25">
      <c r="A16" s="37"/>
      <c r="B16" s="37"/>
      <c r="C16" s="37"/>
      <c r="D16" s="37"/>
      <c r="E16" s="37"/>
      <c r="F16" s="37"/>
    </row>
    <row r="17" spans="1:11" x14ac:dyDescent="0.25">
      <c r="D17" t="s">
        <v>523</v>
      </c>
      <c r="E17" t="s">
        <v>524</v>
      </c>
    </row>
    <row r="18" spans="1:11" x14ac:dyDescent="0.25">
      <c r="A18" s="31" t="s">
        <v>514</v>
      </c>
      <c r="B18" s="22"/>
      <c r="C18" s="23"/>
      <c r="D18" s="5">
        <f>E9/(10^4)</f>
        <v>-1.4192701999999999E-5</v>
      </c>
      <c r="E18" s="5">
        <f>D18</f>
        <v>-1.4192701999999999E-5</v>
      </c>
      <c r="H18" s="35" t="s">
        <v>518</v>
      </c>
      <c r="I18" s="35" t="s">
        <v>519</v>
      </c>
      <c r="J18" s="35" t="s">
        <v>520</v>
      </c>
      <c r="K18" s="35" t="s">
        <v>521</v>
      </c>
    </row>
    <row r="19" spans="1:11" x14ac:dyDescent="0.25">
      <c r="A19" s="32" t="s">
        <v>512</v>
      </c>
      <c r="B19" s="29"/>
      <c r="C19" s="30"/>
      <c r="D19" s="5">
        <f>A12*PI()/180</f>
        <v>-0.93920929989815505</v>
      </c>
      <c r="E19" s="5">
        <f>A15*PI()/180</f>
        <v>-0.9392082565177301</v>
      </c>
      <c r="H19" s="34">
        <v>4036247.432</v>
      </c>
      <c r="I19" s="34">
        <v>2587473.0150000001</v>
      </c>
      <c r="J19" s="34">
        <v>4036447.497</v>
      </c>
      <c r="K19" s="34">
        <v>2587562.62</v>
      </c>
    </row>
    <row r="20" spans="1:11" x14ac:dyDescent="0.25">
      <c r="A20" s="31" t="s">
        <v>513</v>
      </c>
      <c r="B20" s="22"/>
      <c r="C20" s="23"/>
      <c r="D20" s="5">
        <f>B12*PI()/180</f>
        <v>-1.1806109718767428</v>
      </c>
      <c r="E20" s="5">
        <f>B15*PI()/180</f>
        <v>-1.1805884096089161</v>
      </c>
      <c r="H20" s="34">
        <v>4036477.8640000001</v>
      </c>
      <c r="I20" s="34">
        <v>2588983.7799999998</v>
      </c>
      <c r="J20" s="34">
        <v>4036677.93</v>
      </c>
      <c r="K20" s="34">
        <v>2589073.3870000001</v>
      </c>
    </row>
    <row r="21" spans="1:11" x14ac:dyDescent="0.25">
      <c r="A21" s="28" t="s">
        <v>535</v>
      </c>
      <c r="B21" s="29"/>
      <c r="C21" s="30"/>
      <c r="D21" s="5">
        <f>A3/((1-D3*(SIN(D19)^2))^0.5)</f>
        <v>6392089.2090459634</v>
      </c>
      <c r="E21" s="66">
        <f>A6/((1-D6*(SIN(E19)^2))^0.5)</f>
        <v>6392399.894570075</v>
      </c>
      <c r="H21" s="34">
        <v>4037330.3990000002</v>
      </c>
      <c r="I21" s="34">
        <v>2588631.1540000001</v>
      </c>
      <c r="J21" s="34">
        <v>4037530.466</v>
      </c>
      <c r="K21" s="34">
        <v>2588720.7609999999</v>
      </c>
    </row>
    <row r="22" spans="1:11" x14ac:dyDescent="0.25">
      <c r="A22" s="24" t="s">
        <v>540</v>
      </c>
      <c r="B22" s="25"/>
      <c r="C22" s="26"/>
      <c r="D22" s="5">
        <f>(A3*(1-D3))/((1-D3*(SIN(D19)^2))^(3/2))</f>
        <v>6377106.7652296498</v>
      </c>
      <c r="E22" s="66">
        <f>(A6*(1-D6))/((1-D6*(SIN(E19)^2))^(3/2))</f>
        <v>6377353.0832705153</v>
      </c>
      <c r="H22" s="34">
        <v>4036557.2069999999</v>
      </c>
      <c r="I22" s="34">
        <v>2586634.4240000001</v>
      </c>
      <c r="J22" s="34">
        <v>4036757.273</v>
      </c>
      <c r="K22" s="34">
        <v>2586724.0279999999</v>
      </c>
    </row>
    <row r="23" spans="1:11" x14ac:dyDescent="0.25">
      <c r="A23" s="24" t="s">
        <v>531</v>
      </c>
      <c r="B23" s="25"/>
      <c r="C23" s="26"/>
      <c r="D23" s="5">
        <f>A9*SIN(D19)*COS(D20)</f>
        <v>45.43380942847611</v>
      </c>
      <c r="E23" s="5">
        <f>A9*SIN(E19)*COS(E20)</f>
        <v>45.436267224697815</v>
      </c>
      <c r="H23" s="34">
        <v>4037531.9989999998</v>
      </c>
      <c r="I23" s="34">
        <v>2587989.7030000002</v>
      </c>
      <c r="J23" s="34">
        <v>4037732.0669999998</v>
      </c>
      <c r="K23" s="34">
        <v>2588079.3089999999</v>
      </c>
    </row>
    <row r="24" spans="1:11" x14ac:dyDescent="0.25">
      <c r="A24" s="24" t="s">
        <v>532</v>
      </c>
      <c r="B24" s="25"/>
      <c r="C24" s="26"/>
      <c r="D24" s="27">
        <f>B9*SIN(D19)*SIN(D20)</f>
        <v>101.51439220587889</v>
      </c>
      <c r="E24" s="27">
        <f>B9*SIN(E19)*SIN(E20)</f>
        <v>101.51337272209258</v>
      </c>
      <c r="H24" s="34">
        <v>4036859.9029999999</v>
      </c>
      <c r="I24" s="34">
        <v>2588394.0580000002</v>
      </c>
      <c r="J24" s="34">
        <v>4037059.969</v>
      </c>
      <c r="K24" s="34">
        <v>2588483.6639999999</v>
      </c>
    </row>
    <row r="25" spans="1:11" x14ac:dyDescent="0.25">
      <c r="A25" s="24" t="s">
        <v>533</v>
      </c>
      <c r="B25" s="25"/>
      <c r="C25" s="26"/>
      <c r="D25" s="5">
        <f>C9*COS(D19)</f>
        <v>53.138373918039875</v>
      </c>
      <c r="E25" s="5">
        <f>C9*COS(E19)</f>
        <v>53.138449707323694</v>
      </c>
    </row>
    <row r="26" spans="1:11" ht="15.75" thickBot="1" x14ac:dyDescent="0.3">
      <c r="A26" s="24" t="s">
        <v>534</v>
      </c>
      <c r="B26" s="25"/>
      <c r="C26" s="26"/>
      <c r="D26" s="5">
        <f>((D21*D3*SIN(D19)*COS(D19))/A3)*D9</f>
        <v>0.80245667087829708</v>
      </c>
      <c r="E26" s="5">
        <f>((E21*D6*SIN(E19)*COS(E19))/A6)*D9</f>
        <v>0.80585579192273349</v>
      </c>
    </row>
    <row r="27" spans="1:11" ht="15.75" thickBot="1" x14ac:dyDescent="0.3">
      <c r="A27" s="24" t="s">
        <v>536</v>
      </c>
      <c r="B27" s="25"/>
      <c r="C27" s="26"/>
      <c r="D27" s="49">
        <f>SIN(D19)*COS(D19)*(((D22/(1-C3))+(D21*(1-C3)))*D18)</f>
        <v>86.361047266882878</v>
      </c>
      <c r="E27" s="5">
        <f>SIN(E19)*COS(E19)*(((E22/(1-C6))+(E21*(1-C6)))*E18)</f>
        <v>86.36487291259084</v>
      </c>
      <c r="H27" s="40">
        <v>-53.811183361142398</v>
      </c>
      <c r="I27" s="41">
        <v>-67.672043303286003</v>
      </c>
      <c r="J27" s="41">
        <v>-53.811124039440102</v>
      </c>
      <c r="K27" s="42">
        <v>-67.670749399297804</v>
      </c>
    </row>
    <row r="28" spans="1:11" x14ac:dyDescent="0.25">
      <c r="A28" s="54" t="s">
        <v>539</v>
      </c>
      <c r="B28" s="55"/>
      <c r="C28" s="56"/>
      <c r="D28" s="57">
        <f>(1/(D22+C12))*(-D23-D24+D25+D26+D27)</f>
        <v>-1.0422161684342765E-6</v>
      </c>
      <c r="E28" s="23">
        <f>(1/(E22+C15))*(-E23-E24+E25+E26+E27)</f>
        <v>-1.0412566856887392E-6</v>
      </c>
      <c r="H28" s="39">
        <v>-53.808857522373302</v>
      </c>
      <c r="I28" s="39">
        <v>-67.649181398029796</v>
      </c>
      <c r="J28" s="39">
        <v>-53.8087980352689</v>
      </c>
      <c r="K28" s="39">
        <v>-67.647888683292294</v>
      </c>
    </row>
    <row r="29" spans="1:11" x14ac:dyDescent="0.25">
      <c r="A29" s="58" t="s">
        <v>538</v>
      </c>
      <c r="B29" s="44"/>
      <c r="C29" s="43"/>
      <c r="D29" s="59">
        <f>(1/((D21+C12)*COS(D19)))*(-(A9*SIN(D20))+(B9*COS(D20)))</f>
        <v>-2.2561171137843496E-5</v>
      </c>
      <c r="E29" s="23">
        <f>(1/((E21+C15)*COS(E19)))*(-(A9*SIN(E20))+(B9*COS(E20)))</f>
        <v>-2.2558954016523698E-5</v>
      </c>
      <c r="H29" s="5">
        <v>-53.801260093595303</v>
      </c>
      <c r="I29" s="5">
        <v>-67.654777997272006</v>
      </c>
      <c r="J29" s="5">
        <v>-53.801200952612199</v>
      </c>
      <c r="K29" s="5">
        <v>-67.653485235417506</v>
      </c>
    </row>
    <row r="30" spans="1:11" ht="15.75" thickBot="1" x14ac:dyDescent="0.3">
      <c r="A30" s="60" t="s">
        <v>541</v>
      </c>
      <c r="B30" s="61"/>
      <c r="C30" s="62"/>
      <c r="D30" s="63">
        <f>(A9*COS(D19)*COS(D20))+(B9*COS(D19)*SIN(D20))+(C9*SIN(D19))-((A3/D21)*D9)+(D21*(1-C3)*(SIN(D19)^2)*D18)</f>
        <v>11.416964412157434</v>
      </c>
      <c r="E30" s="23">
        <f>(A9*COS(E19)*COS(E20))+(B9*COS(E19)*SIN(E20))+(C9*SIN(E19))-((A6/E21)*D9)+(E21*(1-C6)*(SIN(E19)^2)*E18)</f>
        <v>11.411481331033734</v>
      </c>
      <c r="H30" s="5">
        <v>-53.808541137139798</v>
      </c>
      <c r="I30" s="5">
        <v>-67.684857627090096</v>
      </c>
      <c r="J30" s="5">
        <v>-53.808482047326798</v>
      </c>
      <c r="K30" s="5">
        <v>-67.683563176646004</v>
      </c>
    </row>
    <row r="31" spans="1:11" x14ac:dyDescent="0.25">
      <c r="A31" s="50" t="s">
        <v>511</v>
      </c>
      <c r="B31" s="51"/>
      <c r="C31" s="52"/>
      <c r="D31" s="53">
        <f>D28*-1</f>
        <v>1.0422161684342765E-6</v>
      </c>
      <c r="H31" s="5">
        <v>-53.799558073963297</v>
      </c>
      <c r="I31" s="5">
        <v>-67.664568404814204</v>
      </c>
      <c r="J31" s="5">
        <v>-53.799499095686699</v>
      </c>
      <c r="K31" s="5">
        <v>-67.663275219325101</v>
      </c>
    </row>
    <row r="32" spans="1:11" x14ac:dyDescent="0.25">
      <c r="A32" s="45" t="s">
        <v>515</v>
      </c>
      <c r="B32" s="46"/>
      <c r="C32" s="47" t="s">
        <v>542</v>
      </c>
      <c r="D32" s="48">
        <f t="shared" ref="D32:D33" si="0">D29*-1</f>
        <v>2.2561171137843496E-5</v>
      </c>
      <c r="H32" s="5">
        <v>-53.805526463245201</v>
      </c>
      <c r="I32" s="5">
        <v>-67.658240556125307</v>
      </c>
      <c r="J32" s="5">
        <v>-53.805467203164</v>
      </c>
      <c r="K32" s="5">
        <v>-67.656947504178206</v>
      </c>
    </row>
    <row r="33" spans="1:4" x14ac:dyDescent="0.25">
      <c r="A33" s="45" t="s">
        <v>516</v>
      </c>
      <c r="B33" s="46"/>
      <c r="C33" s="47"/>
      <c r="D33" s="48">
        <f t="shared" si="0"/>
        <v>-11.416964412157434</v>
      </c>
    </row>
    <row r="36" spans="1:4" x14ac:dyDescent="0.25">
      <c r="A36" t="s">
        <v>537</v>
      </c>
    </row>
    <row r="38" spans="1:4" x14ac:dyDescent="0.25">
      <c r="A38" t="s">
        <v>1</v>
      </c>
    </row>
    <row r="40" spans="1:4" x14ac:dyDescent="0.25">
      <c r="A40" t="s">
        <v>2</v>
      </c>
    </row>
  </sheetData>
  <mergeCells count="4">
    <mergeCell ref="A10:C10"/>
    <mergeCell ref="D10:F10"/>
    <mergeCell ref="A13:C13"/>
    <mergeCell ref="D13:F13"/>
  </mergeCells>
  <pageMargins left="0.70866141732283472" right="0.70866141732283472" top="0.74803149606299213" bottom="0.74803149606299213" header="0.31496062992125984" footer="0.31496062992125984"/>
  <pageSetup paperSize="5" scale="80"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I235"/>
  <sheetViews>
    <sheetView topLeftCell="B1" workbookViewId="0">
      <selection activeCell="A42" sqref="A42:I42"/>
    </sheetView>
  </sheetViews>
  <sheetFormatPr baseColWidth="10" defaultRowHeight="15" x14ac:dyDescent="0.25"/>
  <cols>
    <col min="1" max="1" width="40" bestFit="1" customWidth="1"/>
    <col min="2" max="2" width="17.28515625" bestFit="1" customWidth="1"/>
    <col min="4" max="4" width="20.42578125" bestFit="1" customWidth="1"/>
    <col min="5" max="5" width="11.42578125" style="6"/>
    <col min="6" max="6" width="11.42578125" style="7"/>
  </cols>
  <sheetData>
    <row r="1" spans="1:9" x14ac:dyDescent="0.25">
      <c r="A1" s="1" t="s">
        <v>16</v>
      </c>
    </row>
    <row r="2" spans="1:9" x14ac:dyDescent="0.25">
      <c r="A2" s="72" t="s">
        <v>17</v>
      </c>
      <c r="B2" s="72" t="s">
        <v>18</v>
      </c>
      <c r="C2" s="72" t="s">
        <v>19</v>
      </c>
      <c r="D2" s="72" t="s">
        <v>20</v>
      </c>
      <c r="E2" s="72" t="s">
        <v>21</v>
      </c>
      <c r="F2" s="72"/>
      <c r="G2" s="71" t="s">
        <v>22</v>
      </c>
      <c r="H2" s="71"/>
      <c r="I2" s="71"/>
    </row>
    <row r="3" spans="1:9" x14ac:dyDescent="0.25">
      <c r="A3" s="72"/>
      <c r="B3" s="72"/>
      <c r="C3" s="72"/>
      <c r="D3" s="72"/>
      <c r="E3" s="8" t="s">
        <v>23</v>
      </c>
      <c r="F3" s="9" t="s">
        <v>15</v>
      </c>
      <c r="G3" s="10" t="s">
        <v>11</v>
      </c>
      <c r="H3" s="10" t="s">
        <v>12</v>
      </c>
      <c r="I3" s="10" t="s">
        <v>13</v>
      </c>
    </row>
    <row r="4" spans="1:9" x14ac:dyDescent="0.25">
      <c r="A4" t="s">
        <v>28</v>
      </c>
      <c r="B4" t="s">
        <v>25</v>
      </c>
      <c r="C4" t="s">
        <v>29</v>
      </c>
      <c r="D4" t="s">
        <v>27</v>
      </c>
      <c r="E4" s="6">
        <v>-112.145</v>
      </c>
      <c r="F4" s="7">
        <v>-0.54750714</v>
      </c>
      <c r="G4">
        <v>-118</v>
      </c>
      <c r="H4">
        <v>-14</v>
      </c>
      <c r="I4">
        <v>218</v>
      </c>
    </row>
    <row r="5" spans="1:9" x14ac:dyDescent="0.25">
      <c r="A5" t="s">
        <v>30</v>
      </c>
      <c r="B5" t="s">
        <v>25</v>
      </c>
      <c r="C5" t="s">
        <v>31</v>
      </c>
      <c r="D5" t="s">
        <v>27</v>
      </c>
      <c r="E5" s="6">
        <v>-112.145</v>
      </c>
      <c r="F5" s="7">
        <v>-0.54750714</v>
      </c>
      <c r="G5">
        <v>-134</v>
      </c>
      <c r="H5">
        <v>-2</v>
      </c>
      <c r="I5">
        <v>210</v>
      </c>
    </row>
    <row r="6" spans="1:9" x14ac:dyDescent="0.25">
      <c r="A6" t="s">
        <v>32</v>
      </c>
      <c r="B6" t="s">
        <v>25</v>
      </c>
      <c r="C6" t="s">
        <v>33</v>
      </c>
      <c r="D6" t="s">
        <v>27</v>
      </c>
      <c r="E6" s="6">
        <v>-112.145</v>
      </c>
      <c r="F6" s="7">
        <v>-0.54750714</v>
      </c>
      <c r="G6">
        <v>-165</v>
      </c>
      <c r="H6">
        <v>-11</v>
      </c>
      <c r="I6">
        <v>206</v>
      </c>
    </row>
    <row r="7" spans="1:9" x14ac:dyDescent="0.25">
      <c r="A7" t="s">
        <v>24</v>
      </c>
      <c r="B7" t="s">
        <v>25</v>
      </c>
      <c r="C7" t="s">
        <v>26</v>
      </c>
      <c r="D7" t="s">
        <v>27</v>
      </c>
      <c r="E7" s="6">
        <v>-112.145</v>
      </c>
      <c r="F7" s="7">
        <v>-0.54750714</v>
      </c>
      <c r="G7">
        <v>-166</v>
      </c>
      <c r="H7">
        <v>-15</v>
      </c>
      <c r="I7">
        <v>204</v>
      </c>
    </row>
    <row r="8" spans="1:9" x14ac:dyDescent="0.25">
      <c r="A8" t="s">
        <v>34</v>
      </c>
      <c r="B8" t="s">
        <v>25</v>
      </c>
      <c r="C8" t="s">
        <v>35</v>
      </c>
      <c r="D8" t="s">
        <v>27</v>
      </c>
      <c r="E8" s="6">
        <v>-112.145</v>
      </c>
      <c r="F8" s="7">
        <v>-0.54750714</v>
      </c>
      <c r="G8">
        <v>-123</v>
      </c>
      <c r="H8">
        <v>-18</v>
      </c>
      <c r="I8">
        <v>224</v>
      </c>
    </row>
    <row r="9" spans="1:9" x14ac:dyDescent="0.25">
      <c r="A9" t="s">
        <v>36</v>
      </c>
      <c r="B9" t="s">
        <v>25</v>
      </c>
      <c r="C9" t="s">
        <v>37</v>
      </c>
      <c r="D9" t="s">
        <v>27</v>
      </c>
      <c r="E9" s="6">
        <v>-112.145</v>
      </c>
      <c r="F9" s="7">
        <v>-0.54750714</v>
      </c>
      <c r="G9">
        <v>-161</v>
      </c>
      <c r="H9">
        <v>-14</v>
      </c>
      <c r="I9">
        <v>205</v>
      </c>
    </row>
    <row r="10" spans="1:9" x14ac:dyDescent="0.25">
      <c r="A10" t="s">
        <v>38</v>
      </c>
      <c r="B10" t="s">
        <v>25</v>
      </c>
      <c r="C10" t="s">
        <v>39</v>
      </c>
      <c r="D10" t="s">
        <v>40</v>
      </c>
      <c r="E10" s="6">
        <v>-108</v>
      </c>
      <c r="F10" s="7">
        <v>4.8079500000000001E-3</v>
      </c>
      <c r="G10">
        <v>-43</v>
      </c>
      <c r="H10">
        <v>-163</v>
      </c>
      <c r="I10">
        <v>45</v>
      </c>
    </row>
    <row r="11" spans="1:9" x14ac:dyDescent="0.25">
      <c r="A11" t="s">
        <v>111</v>
      </c>
      <c r="B11" t="s">
        <v>112</v>
      </c>
      <c r="C11" t="s">
        <v>113</v>
      </c>
      <c r="D11" t="s">
        <v>69</v>
      </c>
      <c r="E11" s="6">
        <v>-251</v>
      </c>
      <c r="F11" s="7">
        <v>-0.14192701999999999</v>
      </c>
      <c r="G11">
        <v>-150</v>
      </c>
      <c r="H11">
        <v>-250</v>
      </c>
      <c r="I11">
        <v>-1</v>
      </c>
    </row>
    <row r="12" spans="1:9" x14ac:dyDescent="0.25">
      <c r="A12" t="s">
        <v>114</v>
      </c>
      <c r="B12" t="s">
        <v>112</v>
      </c>
      <c r="C12" t="s">
        <v>115</v>
      </c>
      <c r="D12" t="s">
        <v>69</v>
      </c>
      <c r="E12" s="6">
        <v>-251</v>
      </c>
      <c r="F12" s="7">
        <v>-0.14192701999999999</v>
      </c>
      <c r="G12">
        <v>-143</v>
      </c>
      <c r="H12">
        <v>-236</v>
      </c>
      <c r="I12">
        <v>7</v>
      </c>
    </row>
    <row r="13" spans="1:9" x14ac:dyDescent="0.25">
      <c r="A13" t="s">
        <v>418</v>
      </c>
      <c r="B13" t="s">
        <v>419</v>
      </c>
      <c r="C13" t="s">
        <v>420</v>
      </c>
      <c r="D13" t="s">
        <v>249</v>
      </c>
      <c r="E13" s="6">
        <v>-69.400000000000006</v>
      </c>
      <c r="F13" s="7">
        <v>-0.37264638999999999</v>
      </c>
      <c r="G13">
        <v>-115</v>
      </c>
      <c r="H13">
        <v>118</v>
      </c>
      <c r="I13">
        <v>426</v>
      </c>
    </row>
    <row r="14" spans="1:9" x14ac:dyDescent="0.25">
      <c r="A14" t="s">
        <v>405</v>
      </c>
      <c r="B14" t="s">
        <v>406</v>
      </c>
      <c r="C14" t="s">
        <v>407</v>
      </c>
      <c r="D14" t="s">
        <v>178</v>
      </c>
      <c r="E14" s="6">
        <v>-23</v>
      </c>
      <c r="F14" s="7">
        <v>-8.1203999999999998E-4</v>
      </c>
      <c r="G14">
        <v>-491</v>
      </c>
      <c r="H14">
        <v>-22</v>
      </c>
      <c r="I14">
        <v>435</v>
      </c>
    </row>
    <row r="15" spans="1:9" x14ac:dyDescent="0.25">
      <c r="A15" t="s">
        <v>363</v>
      </c>
      <c r="B15" t="s">
        <v>364</v>
      </c>
      <c r="C15" t="s">
        <v>365</v>
      </c>
      <c r="D15" t="s">
        <v>27</v>
      </c>
      <c r="E15" s="6">
        <v>-112.145</v>
      </c>
      <c r="F15" s="7">
        <v>-0.54750714</v>
      </c>
      <c r="G15">
        <v>-270</v>
      </c>
      <c r="H15">
        <v>13</v>
      </c>
      <c r="I15">
        <v>62</v>
      </c>
    </row>
    <row r="16" spans="1:9" x14ac:dyDescent="0.25">
      <c r="A16" t="s">
        <v>43</v>
      </c>
      <c r="B16" t="s">
        <v>25</v>
      </c>
      <c r="C16" t="s">
        <v>44</v>
      </c>
      <c r="D16" t="s">
        <v>27</v>
      </c>
      <c r="E16" s="6">
        <v>-112.145</v>
      </c>
      <c r="F16" s="7">
        <v>-0.54750714</v>
      </c>
      <c r="G16">
        <v>-138</v>
      </c>
      <c r="H16">
        <v>-105</v>
      </c>
      <c r="I16">
        <v>-289</v>
      </c>
    </row>
    <row r="17" spans="1:9" x14ac:dyDescent="0.25">
      <c r="A17" t="s">
        <v>45</v>
      </c>
      <c r="B17" t="s">
        <v>25</v>
      </c>
      <c r="C17" t="s">
        <v>46</v>
      </c>
      <c r="D17" t="s">
        <v>27</v>
      </c>
      <c r="E17" s="6">
        <v>-112.145</v>
      </c>
      <c r="F17" s="7">
        <v>-0.54750714</v>
      </c>
      <c r="G17">
        <v>-153</v>
      </c>
      <c r="H17">
        <v>-5</v>
      </c>
      <c r="I17">
        <v>-292</v>
      </c>
    </row>
    <row r="18" spans="1:9" x14ac:dyDescent="0.25">
      <c r="A18" t="s">
        <v>47</v>
      </c>
      <c r="B18" t="s">
        <v>25</v>
      </c>
      <c r="C18" t="s">
        <v>48</v>
      </c>
      <c r="D18" t="s">
        <v>27</v>
      </c>
      <c r="E18" s="6">
        <v>-112.145</v>
      </c>
      <c r="F18" s="7">
        <v>-0.54750714</v>
      </c>
      <c r="G18">
        <v>-125</v>
      </c>
      <c r="H18">
        <v>-108</v>
      </c>
      <c r="I18">
        <v>-295</v>
      </c>
    </row>
    <row r="19" spans="1:9" x14ac:dyDescent="0.25">
      <c r="A19" t="s">
        <v>41</v>
      </c>
      <c r="B19" t="s">
        <v>25</v>
      </c>
      <c r="C19" t="s">
        <v>42</v>
      </c>
      <c r="D19" t="s">
        <v>27</v>
      </c>
      <c r="E19" s="6">
        <v>-112.145</v>
      </c>
      <c r="F19" s="7">
        <v>-0.54750714</v>
      </c>
      <c r="G19">
        <v>-143</v>
      </c>
      <c r="H19">
        <v>-90</v>
      </c>
      <c r="I19">
        <v>-294</v>
      </c>
    </row>
    <row r="20" spans="1:9" x14ac:dyDescent="0.25">
      <c r="A20" t="s">
        <v>49</v>
      </c>
      <c r="B20" t="s">
        <v>25</v>
      </c>
      <c r="C20" t="s">
        <v>50</v>
      </c>
      <c r="D20" t="s">
        <v>27</v>
      </c>
      <c r="E20" s="6">
        <v>-112.145</v>
      </c>
      <c r="F20" s="7">
        <v>-0.54750714</v>
      </c>
      <c r="G20">
        <v>-161</v>
      </c>
      <c r="H20">
        <v>-73</v>
      </c>
      <c r="I20">
        <v>-317</v>
      </c>
    </row>
    <row r="21" spans="1:9" x14ac:dyDescent="0.25">
      <c r="A21" t="s">
        <v>51</v>
      </c>
      <c r="B21" t="s">
        <v>25</v>
      </c>
      <c r="C21" t="s">
        <v>52</v>
      </c>
      <c r="D21" t="s">
        <v>27</v>
      </c>
      <c r="E21" s="6">
        <v>-112.145</v>
      </c>
      <c r="F21" s="7">
        <v>-0.54750714</v>
      </c>
      <c r="G21">
        <v>-134</v>
      </c>
      <c r="H21">
        <v>-105</v>
      </c>
      <c r="I21">
        <v>-295</v>
      </c>
    </row>
    <row r="22" spans="1:9" x14ac:dyDescent="0.25">
      <c r="A22" t="s">
        <v>53</v>
      </c>
      <c r="B22" t="s">
        <v>25</v>
      </c>
      <c r="C22" t="s">
        <v>54</v>
      </c>
      <c r="D22" t="s">
        <v>27</v>
      </c>
      <c r="E22" s="6">
        <v>-112.145</v>
      </c>
      <c r="F22" s="7">
        <v>-0.54750714</v>
      </c>
      <c r="G22">
        <v>-169</v>
      </c>
      <c r="H22">
        <v>-19</v>
      </c>
      <c r="I22">
        <v>-278</v>
      </c>
    </row>
    <row r="23" spans="1:9" x14ac:dyDescent="0.25">
      <c r="A23" t="s">
        <v>55</v>
      </c>
      <c r="B23" t="s">
        <v>25</v>
      </c>
      <c r="C23" t="s">
        <v>56</v>
      </c>
      <c r="D23" t="s">
        <v>27</v>
      </c>
      <c r="E23" s="6">
        <v>-112.145</v>
      </c>
      <c r="F23" s="7">
        <v>-0.54750714</v>
      </c>
      <c r="G23">
        <v>-147</v>
      </c>
      <c r="H23">
        <v>-74</v>
      </c>
      <c r="I23">
        <v>-283</v>
      </c>
    </row>
    <row r="24" spans="1:9" x14ac:dyDescent="0.25">
      <c r="A24" t="s">
        <v>57</v>
      </c>
      <c r="B24" t="s">
        <v>25</v>
      </c>
      <c r="C24" t="s">
        <v>58</v>
      </c>
      <c r="D24" t="s">
        <v>27</v>
      </c>
      <c r="E24" s="6">
        <v>-112.145</v>
      </c>
      <c r="F24" s="7">
        <v>-0.54750714</v>
      </c>
      <c r="G24">
        <v>-142</v>
      </c>
      <c r="H24">
        <v>-96</v>
      </c>
      <c r="I24">
        <v>-293</v>
      </c>
    </row>
    <row r="25" spans="1:9" x14ac:dyDescent="0.25">
      <c r="A25" t="s">
        <v>61</v>
      </c>
      <c r="B25" t="s">
        <v>25</v>
      </c>
      <c r="C25" t="s">
        <v>62</v>
      </c>
      <c r="D25" t="s">
        <v>27</v>
      </c>
      <c r="E25" s="6">
        <v>-112.145</v>
      </c>
      <c r="F25" s="7">
        <v>-0.54750714</v>
      </c>
      <c r="G25">
        <v>-157</v>
      </c>
      <c r="H25">
        <v>-2</v>
      </c>
      <c r="I25">
        <v>-299</v>
      </c>
    </row>
    <row r="26" spans="1:9" x14ac:dyDescent="0.25">
      <c r="A26" t="s">
        <v>59</v>
      </c>
      <c r="B26" t="s">
        <v>25</v>
      </c>
      <c r="C26" t="s">
        <v>60</v>
      </c>
      <c r="D26" t="s">
        <v>27</v>
      </c>
      <c r="E26" s="6">
        <v>-112.145</v>
      </c>
      <c r="F26" s="7">
        <v>-0.54750714</v>
      </c>
      <c r="G26">
        <v>-160</v>
      </c>
      <c r="H26">
        <v>-6</v>
      </c>
      <c r="I26">
        <v>-302</v>
      </c>
    </row>
    <row r="27" spans="1:9" x14ac:dyDescent="0.25">
      <c r="A27" t="s">
        <v>63</v>
      </c>
      <c r="B27" t="s">
        <v>25</v>
      </c>
      <c r="C27" t="s">
        <v>64</v>
      </c>
      <c r="D27" t="s">
        <v>27</v>
      </c>
      <c r="E27" s="6">
        <v>-112.145</v>
      </c>
      <c r="F27" s="7">
        <v>-0.54750714</v>
      </c>
      <c r="G27">
        <v>-175</v>
      </c>
      <c r="H27">
        <v>-23</v>
      </c>
      <c r="I27">
        <v>-303</v>
      </c>
    </row>
    <row r="28" spans="1:9" x14ac:dyDescent="0.25">
      <c r="A28" t="s">
        <v>366</v>
      </c>
      <c r="B28" t="s">
        <v>364</v>
      </c>
      <c r="C28" t="s">
        <v>367</v>
      </c>
      <c r="D28" t="s">
        <v>69</v>
      </c>
      <c r="E28" s="6">
        <v>-251</v>
      </c>
      <c r="F28" s="7">
        <v>-0.14192701999999999</v>
      </c>
      <c r="G28">
        <v>-205</v>
      </c>
      <c r="H28">
        <v>107</v>
      </c>
      <c r="I28">
        <v>53</v>
      </c>
    </row>
    <row r="29" spans="1:9" x14ac:dyDescent="0.25">
      <c r="A29" t="s">
        <v>421</v>
      </c>
      <c r="B29" t="s">
        <v>419</v>
      </c>
      <c r="C29" t="s">
        <v>422</v>
      </c>
      <c r="D29" t="s">
        <v>69</v>
      </c>
      <c r="E29" s="6">
        <v>-251</v>
      </c>
      <c r="F29" s="7">
        <v>-0.14192701999999999</v>
      </c>
      <c r="G29">
        <v>145</v>
      </c>
      <c r="H29">
        <v>75</v>
      </c>
      <c r="I29">
        <v>-272</v>
      </c>
    </row>
    <row r="30" spans="1:9" x14ac:dyDescent="0.25">
      <c r="A30" t="s">
        <v>368</v>
      </c>
      <c r="B30" t="s">
        <v>364</v>
      </c>
      <c r="C30" t="s">
        <v>369</v>
      </c>
      <c r="D30" t="s">
        <v>69</v>
      </c>
      <c r="E30" s="6">
        <v>-251</v>
      </c>
      <c r="F30" s="7">
        <v>-0.14192701999999999</v>
      </c>
      <c r="G30">
        <v>-320</v>
      </c>
      <c r="H30">
        <v>550</v>
      </c>
      <c r="I30">
        <v>-494</v>
      </c>
    </row>
    <row r="31" spans="1:9" x14ac:dyDescent="0.25">
      <c r="A31" t="s">
        <v>423</v>
      </c>
      <c r="B31" t="s">
        <v>419</v>
      </c>
      <c r="C31" t="s">
        <v>424</v>
      </c>
      <c r="D31" t="s">
        <v>69</v>
      </c>
      <c r="E31" s="6">
        <v>-251</v>
      </c>
      <c r="F31" s="7">
        <v>-0.14192701999999999</v>
      </c>
      <c r="G31">
        <v>114</v>
      </c>
      <c r="H31">
        <v>-116</v>
      </c>
      <c r="I31">
        <v>-333</v>
      </c>
    </row>
    <row r="32" spans="1:9" x14ac:dyDescent="0.25">
      <c r="A32" t="s">
        <v>425</v>
      </c>
      <c r="B32" t="s">
        <v>419</v>
      </c>
      <c r="C32" t="s">
        <v>426</v>
      </c>
      <c r="D32" t="s">
        <v>69</v>
      </c>
      <c r="E32" s="6">
        <v>-251</v>
      </c>
      <c r="F32" s="7">
        <v>-0.14192701999999999</v>
      </c>
      <c r="G32">
        <v>124</v>
      </c>
      <c r="H32">
        <v>-234</v>
      </c>
      <c r="I32">
        <v>-25</v>
      </c>
    </row>
    <row r="33" spans="1:9" x14ac:dyDescent="0.25">
      <c r="A33" t="s">
        <v>175</v>
      </c>
      <c r="B33" t="s">
        <v>176</v>
      </c>
      <c r="C33" t="s">
        <v>177</v>
      </c>
      <c r="D33" t="s">
        <v>178</v>
      </c>
      <c r="E33" s="6">
        <v>-23</v>
      </c>
      <c r="F33" s="7">
        <v>-8.1203999999999998E-4</v>
      </c>
      <c r="G33">
        <v>-133</v>
      </c>
      <c r="H33">
        <v>-48</v>
      </c>
      <c r="I33">
        <v>148</v>
      </c>
    </row>
    <row r="34" spans="1:9" x14ac:dyDescent="0.25">
      <c r="A34" t="s">
        <v>179</v>
      </c>
      <c r="B34" t="s">
        <v>176</v>
      </c>
      <c r="C34" t="s">
        <v>180</v>
      </c>
      <c r="D34" t="s">
        <v>178</v>
      </c>
      <c r="E34" s="6">
        <v>-23</v>
      </c>
      <c r="F34" s="7">
        <v>-8.1203999999999998E-4</v>
      </c>
      <c r="G34">
        <v>-134</v>
      </c>
      <c r="H34">
        <v>-48</v>
      </c>
      <c r="I34">
        <v>149</v>
      </c>
    </row>
    <row r="35" spans="1:9" x14ac:dyDescent="0.25">
      <c r="A35" t="s">
        <v>65</v>
      </c>
      <c r="B35" t="s">
        <v>25</v>
      </c>
      <c r="C35" t="s">
        <v>66</v>
      </c>
      <c r="D35" t="s">
        <v>27</v>
      </c>
      <c r="E35" s="6">
        <v>-112.145</v>
      </c>
      <c r="F35" s="7">
        <v>-0.54750714</v>
      </c>
      <c r="G35">
        <v>-79</v>
      </c>
      <c r="H35">
        <v>-129</v>
      </c>
      <c r="I35">
        <v>145</v>
      </c>
    </row>
    <row r="36" spans="1:9" x14ac:dyDescent="0.25">
      <c r="A36" t="s">
        <v>427</v>
      </c>
      <c r="B36" t="s">
        <v>419</v>
      </c>
      <c r="C36" t="s">
        <v>428</v>
      </c>
      <c r="D36" t="s">
        <v>69</v>
      </c>
      <c r="E36" s="6">
        <v>-251</v>
      </c>
      <c r="F36" s="7">
        <v>-0.14192701999999999</v>
      </c>
      <c r="G36">
        <v>-127</v>
      </c>
      <c r="H36">
        <v>-769</v>
      </c>
      <c r="I36">
        <v>472</v>
      </c>
    </row>
    <row r="37" spans="1:9" x14ac:dyDescent="0.25">
      <c r="A37" t="s">
        <v>370</v>
      </c>
      <c r="B37" t="s">
        <v>364</v>
      </c>
      <c r="C37" t="s">
        <v>371</v>
      </c>
      <c r="D37" t="s">
        <v>249</v>
      </c>
      <c r="E37" s="6">
        <v>-69.400000000000006</v>
      </c>
      <c r="F37" s="7">
        <v>-0.37264638999999999</v>
      </c>
      <c r="G37">
        <v>-73</v>
      </c>
      <c r="H37">
        <v>213</v>
      </c>
      <c r="I37">
        <v>296</v>
      </c>
    </row>
    <row r="38" spans="1:9" x14ac:dyDescent="0.25">
      <c r="A38" t="s">
        <v>67</v>
      </c>
      <c r="B38" t="s">
        <v>25</v>
      </c>
      <c r="C38" t="s">
        <v>68</v>
      </c>
      <c r="D38" t="s">
        <v>69</v>
      </c>
      <c r="E38" s="6">
        <v>-251</v>
      </c>
      <c r="F38" s="7">
        <v>-0.14192701999999999</v>
      </c>
      <c r="G38">
        <v>-173</v>
      </c>
      <c r="H38">
        <v>253</v>
      </c>
      <c r="I38">
        <v>27</v>
      </c>
    </row>
    <row r="39" spans="1:9" x14ac:dyDescent="0.25">
      <c r="A39" t="s">
        <v>303</v>
      </c>
      <c r="B39" t="s">
        <v>304</v>
      </c>
      <c r="C39" t="s">
        <v>305</v>
      </c>
      <c r="D39" t="s">
        <v>69</v>
      </c>
      <c r="E39" s="6">
        <v>-251</v>
      </c>
      <c r="F39" s="7">
        <v>-0.14192701999999999</v>
      </c>
      <c r="G39">
        <v>307</v>
      </c>
      <c r="H39">
        <v>304</v>
      </c>
      <c r="I39">
        <v>-318</v>
      </c>
    </row>
    <row r="40" spans="1:9" x14ac:dyDescent="0.25">
      <c r="A40" t="s">
        <v>478</v>
      </c>
      <c r="B40" t="s">
        <v>406</v>
      </c>
      <c r="C40" t="s">
        <v>479</v>
      </c>
      <c r="D40" t="s">
        <v>86</v>
      </c>
      <c r="E40" s="6">
        <v>739.84500000000003</v>
      </c>
      <c r="F40" s="7">
        <v>0.10037483</v>
      </c>
      <c r="G40">
        <v>-384</v>
      </c>
      <c r="H40">
        <v>664</v>
      </c>
      <c r="I40">
        <v>-48</v>
      </c>
    </row>
    <row r="41" spans="1:9" x14ac:dyDescent="0.25">
      <c r="A41" t="s">
        <v>480</v>
      </c>
      <c r="B41" t="s">
        <v>481</v>
      </c>
      <c r="C41" t="s">
        <v>482</v>
      </c>
      <c r="D41" t="s">
        <v>69</v>
      </c>
      <c r="E41" s="6">
        <v>-251</v>
      </c>
      <c r="F41" s="7">
        <v>-0.14192701999999999</v>
      </c>
      <c r="G41">
        <v>-104</v>
      </c>
      <c r="H41">
        <v>-129</v>
      </c>
      <c r="I41">
        <v>239</v>
      </c>
    </row>
    <row r="42" spans="1:9" x14ac:dyDescent="0.25">
      <c r="A42" t="s">
        <v>306</v>
      </c>
      <c r="B42" t="s">
        <v>304</v>
      </c>
      <c r="C42" t="s">
        <v>307</v>
      </c>
      <c r="D42" t="s">
        <v>69</v>
      </c>
      <c r="E42" s="6">
        <v>-251</v>
      </c>
      <c r="F42" s="7">
        <v>-0.14192701999999999</v>
      </c>
      <c r="G42">
        <v>-148</v>
      </c>
      <c r="H42">
        <v>136</v>
      </c>
      <c r="I42">
        <v>90</v>
      </c>
    </row>
    <row r="43" spans="1:9" x14ac:dyDescent="0.25">
      <c r="A43" t="s">
        <v>429</v>
      </c>
      <c r="B43" t="s">
        <v>419</v>
      </c>
      <c r="C43" t="s">
        <v>430</v>
      </c>
      <c r="D43" t="s">
        <v>69</v>
      </c>
      <c r="E43" s="6">
        <v>-251</v>
      </c>
      <c r="F43" s="7">
        <v>-0.14192701999999999</v>
      </c>
      <c r="G43">
        <v>298</v>
      </c>
      <c r="H43">
        <v>-304</v>
      </c>
      <c r="I43">
        <v>-375</v>
      </c>
    </row>
    <row r="44" spans="1:9" x14ac:dyDescent="0.25">
      <c r="A44" t="s">
        <v>70</v>
      </c>
      <c r="B44" t="s">
        <v>25</v>
      </c>
      <c r="C44" t="s">
        <v>71</v>
      </c>
      <c r="D44" t="s">
        <v>27</v>
      </c>
      <c r="E44" s="6">
        <v>-112.145</v>
      </c>
      <c r="F44" s="7">
        <v>-0.54750714</v>
      </c>
      <c r="G44">
        <v>-136</v>
      </c>
      <c r="H44">
        <v>-108</v>
      </c>
      <c r="I44">
        <v>-292</v>
      </c>
    </row>
    <row r="45" spans="1:9" x14ac:dyDescent="0.25">
      <c r="A45" t="s">
        <v>246</v>
      </c>
      <c r="B45" t="s">
        <v>247</v>
      </c>
      <c r="C45" t="s">
        <v>248</v>
      </c>
      <c r="D45" t="s">
        <v>249</v>
      </c>
      <c r="E45" s="6">
        <v>-69.400000000000006</v>
      </c>
      <c r="F45" s="7">
        <v>-0.37264638999999999</v>
      </c>
      <c r="G45">
        <v>-2</v>
      </c>
      <c r="H45">
        <v>151</v>
      </c>
      <c r="I45">
        <v>181</v>
      </c>
    </row>
    <row r="46" spans="1:9" x14ac:dyDescent="0.25">
      <c r="A46" t="s">
        <v>372</v>
      </c>
      <c r="B46" t="s">
        <v>364</v>
      </c>
      <c r="C46" t="s">
        <v>248</v>
      </c>
      <c r="D46" t="s">
        <v>249</v>
      </c>
      <c r="E46" s="6">
        <v>-69.400000000000006</v>
      </c>
      <c r="F46" s="7">
        <v>-0.37264638999999999</v>
      </c>
      <c r="G46">
        <v>-2</v>
      </c>
      <c r="H46">
        <v>151</v>
      </c>
      <c r="I46">
        <v>181</v>
      </c>
    </row>
    <row r="47" spans="1:9" x14ac:dyDescent="0.25">
      <c r="A47" t="s">
        <v>72</v>
      </c>
      <c r="B47" t="s">
        <v>25</v>
      </c>
      <c r="C47" t="s">
        <v>73</v>
      </c>
      <c r="D47" t="s">
        <v>27</v>
      </c>
      <c r="E47" s="6">
        <v>-112.145</v>
      </c>
      <c r="F47" s="7">
        <v>-0.54750714</v>
      </c>
      <c r="G47">
        <v>-263</v>
      </c>
      <c r="H47">
        <v>6</v>
      </c>
      <c r="I47">
        <v>431</v>
      </c>
    </row>
    <row r="48" spans="1:9" x14ac:dyDescent="0.25">
      <c r="A48" t="s">
        <v>431</v>
      </c>
      <c r="B48" t="s">
        <v>419</v>
      </c>
      <c r="C48" t="s">
        <v>432</v>
      </c>
      <c r="D48" t="s">
        <v>69</v>
      </c>
      <c r="E48" s="6">
        <v>-251</v>
      </c>
      <c r="F48" s="7">
        <v>-0.14192701999999999</v>
      </c>
      <c r="G48">
        <v>175</v>
      </c>
      <c r="H48">
        <v>-38</v>
      </c>
      <c r="I48">
        <v>113</v>
      </c>
    </row>
    <row r="49" spans="1:9" x14ac:dyDescent="0.25">
      <c r="A49" t="s">
        <v>308</v>
      </c>
      <c r="B49" t="s">
        <v>304</v>
      </c>
      <c r="C49" t="s">
        <v>309</v>
      </c>
      <c r="D49" t="s">
        <v>69</v>
      </c>
      <c r="E49" s="6">
        <v>-251</v>
      </c>
      <c r="F49" s="7">
        <v>-0.14192701999999999</v>
      </c>
      <c r="G49">
        <v>-134</v>
      </c>
      <c r="H49">
        <v>229</v>
      </c>
      <c r="I49">
        <v>-29</v>
      </c>
    </row>
    <row r="50" spans="1:9" x14ac:dyDescent="0.25">
      <c r="A50" t="s">
        <v>181</v>
      </c>
      <c r="B50" t="s">
        <v>182</v>
      </c>
      <c r="C50" t="s">
        <v>183</v>
      </c>
      <c r="D50" t="s">
        <v>86</v>
      </c>
      <c r="E50" s="6">
        <v>739.85</v>
      </c>
      <c r="F50" s="7">
        <v>0.10037483</v>
      </c>
      <c r="G50">
        <v>374</v>
      </c>
      <c r="H50">
        <v>150</v>
      </c>
      <c r="I50">
        <v>588</v>
      </c>
    </row>
    <row r="51" spans="1:9" x14ac:dyDescent="0.25">
      <c r="A51" t="s">
        <v>310</v>
      </c>
      <c r="B51" t="s">
        <v>304</v>
      </c>
      <c r="C51" t="s">
        <v>311</v>
      </c>
      <c r="D51" t="s">
        <v>69</v>
      </c>
      <c r="E51" s="6">
        <v>-251</v>
      </c>
      <c r="F51" s="7">
        <v>-0.14192701999999999</v>
      </c>
      <c r="G51">
        <v>-206</v>
      </c>
      <c r="H51">
        <v>172</v>
      </c>
      <c r="I51">
        <v>-6</v>
      </c>
    </row>
    <row r="52" spans="1:9" x14ac:dyDescent="0.25">
      <c r="A52" t="s">
        <v>74</v>
      </c>
      <c r="B52" t="s">
        <v>25</v>
      </c>
      <c r="C52" t="s">
        <v>75</v>
      </c>
      <c r="D52" t="s">
        <v>27</v>
      </c>
      <c r="E52" s="6">
        <v>-112.145</v>
      </c>
      <c r="F52" s="7">
        <v>-0.54750714</v>
      </c>
      <c r="G52">
        <v>-83</v>
      </c>
      <c r="H52">
        <v>37</v>
      </c>
      <c r="I52">
        <v>124</v>
      </c>
    </row>
    <row r="53" spans="1:9" x14ac:dyDescent="0.25">
      <c r="A53" t="s">
        <v>373</v>
      </c>
      <c r="B53" t="s">
        <v>364</v>
      </c>
      <c r="C53" t="s">
        <v>374</v>
      </c>
      <c r="D53" t="s">
        <v>27</v>
      </c>
      <c r="E53" s="6">
        <v>-112.145</v>
      </c>
      <c r="F53" s="7">
        <v>-0.54750714</v>
      </c>
      <c r="G53">
        <v>260</v>
      </c>
      <c r="H53">
        <v>12</v>
      </c>
      <c r="I53">
        <v>-147</v>
      </c>
    </row>
    <row r="54" spans="1:9" x14ac:dyDescent="0.25">
      <c r="A54" t="s">
        <v>116</v>
      </c>
      <c r="B54" t="s">
        <v>112</v>
      </c>
      <c r="C54" t="s">
        <v>117</v>
      </c>
      <c r="D54" t="s">
        <v>86</v>
      </c>
      <c r="E54" s="6">
        <v>739.84500000000003</v>
      </c>
      <c r="F54" s="7">
        <v>0.10037483</v>
      </c>
      <c r="G54">
        <v>-377</v>
      </c>
      <c r="H54">
        <v>681</v>
      </c>
      <c r="I54">
        <v>-50</v>
      </c>
    </row>
    <row r="55" spans="1:9" x14ac:dyDescent="0.25">
      <c r="A55" t="s">
        <v>433</v>
      </c>
      <c r="B55" t="s">
        <v>419</v>
      </c>
      <c r="C55" t="s">
        <v>434</v>
      </c>
      <c r="D55" t="s">
        <v>69</v>
      </c>
      <c r="E55" s="6">
        <v>-251</v>
      </c>
      <c r="F55" s="7">
        <v>-0.14192701999999999</v>
      </c>
      <c r="G55">
        <v>230</v>
      </c>
      <c r="H55">
        <v>-199</v>
      </c>
      <c r="I55">
        <v>-752</v>
      </c>
    </row>
    <row r="56" spans="1:9" x14ac:dyDescent="0.25">
      <c r="A56" t="s">
        <v>435</v>
      </c>
      <c r="B56" t="s">
        <v>419</v>
      </c>
      <c r="C56" t="s">
        <v>436</v>
      </c>
      <c r="D56" t="s">
        <v>69</v>
      </c>
      <c r="E56" s="6">
        <v>-251</v>
      </c>
      <c r="F56" s="7">
        <v>-0.14192701999999999</v>
      </c>
      <c r="G56">
        <v>211</v>
      </c>
      <c r="H56">
        <v>147</v>
      </c>
      <c r="I56">
        <v>111</v>
      </c>
    </row>
    <row r="57" spans="1:9" x14ac:dyDescent="0.25">
      <c r="A57" t="s">
        <v>190</v>
      </c>
      <c r="B57" t="s">
        <v>182</v>
      </c>
      <c r="C57" t="s">
        <v>77</v>
      </c>
      <c r="D57" t="s">
        <v>69</v>
      </c>
      <c r="E57" s="6">
        <v>-251</v>
      </c>
      <c r="F57" s="7">
        <v>-0.14192701999999999</v>
      </c>
      <c r="G57">
        <v>-130</v>
      </c>
      <c r="H57">
        <v>-117</v>
      </c>
      <c r="I57">
        <v>-151</v>
      </c>
    </row>
    <row r="58" spans="1:9" x14ac:dyDescent="0.25">
      <c r="A58" t="s">
        <v>188</v>
      </c>
      <c r="B58" t="s">
        <v>182</v>
      </c>
      <c r="C58" t="s">
        <v>189</v>
      </c>
      <c r="D58" t="s">
        <v>69</v>
      </c>
      <c r="E58" s="6">
        <v>-251</v>
      </c>
      <c r="F58" s="7">
        <v>-0.14192701999999999</v>
      </c>
      <c r="G58">
        <v>-104</v>
      </c>
      <c r="H58">
        <v>-101</v>
      </c>
      <c r="I58">
        <v>-140</v>
      </c>
    </row>
    <row r="59" spans="1:9" x14ac:dyDescent="0.25">
      <c r="A59" t="s">
        <v>76</v>
      </c>
      <c r="B59" t="s">
        <v>25</v>
      </c>
      <c r="C59" t="s">
        <v>77</v>
      </c>
      <c r="D59" t="s">
        <v>69</v>
      </c>
      <c r="E59" s="6">
        <v>-251</v>
      </c>
      <c r="F59" s="7">
        <v>-0.14192701999999999</v>
      </c>
      <c r="G59">
        <v>-130</v>
      </c>
      <c r="H59">
        <v>-117</v>
      </c>
      <c r="I59">
        <v>-151</v>
      </c>
    </row>
    <row r="60" spans="1:9" x14ac:dyDescent="0.25">
      <c r="A60" t="s">
        <v>191</v>
      </c>
      <c r="B60" t="s">
        <v>182</v>
      </c>
      <c r="C60" t="s">
        <v>192</v>
      </c>
      <c r="D60" t="s">
        <v>69</v>
      </c>
      <c r="E60" s="6">
        <v>-251</v>
      </c>
      <c r="F60" s="7">
        <v>-0.14192701999999999</v>
      </c>
      <c r="G60">
        <v>-86</v>
      </c>
      <c r="H60">
        <v>-96</v>
      </c>
      <c r="I60">
        <v>-120</v>
      </c>
    </row>
    <row r="61" spans="1:9" x14ac:dyDescent="0.25">
      <c r="A61" t="s">
        <v>193</v>
      </c>
      <c r="B61" t="s">
        <v>182</v>
      </c>
      <c r="C61" t="s">
        <v>194</v>
      </c>
      <c r="D61" t="s">
        <v>69</v>
      </c>
      <c r="E61" s="6">
        <v>-251</v>
      </c>
      <c r="F61" s="7">
        <v>-0.14192701999999999</v>
      </c>
      <c r="G61">
        <v>-86</v>
      </c>
      <c r="H61">
        <v>-96</v>
      </c>
      <c r="I61">
        <v>-120</v>
      </c>
    </row>
    <row r="62" spans="1:9" x14ac:dyDescent="0.25">
      <c r="A62" t="s">
        <v>195</v>
      </c>
      <c r="B62" t="s">
        <v>182</v>
      </c>
      <c r="C62" t="s">
        <v>196</v>
      </c>
      <c r="D62" t="s">
        <v>69</v>
      </c>
      <c r="E62" s="6">
        <v>-251</v>
      </c>
      <c r="F62" s="7">
        <v>-0.14192701999999999</v>
      </c>
      <c r="G62">
        <v>-84</v>
      </c>
      <c r="H62">
        <v>-95</v>
      </c>
      <c r="I62">
        <v>-130</v>
      </c>
    </row>
    <row r="63" spans="1:9" x14ac:dyDescent="0.25">
      <c r="A63" t="s">
        <v>118</v>
      </c>
      <c r="B63" t="s">
        <v>112</v>
      </c>
      <c r="C63" t="s">
        <v>119</v>
      </c>
      <c r="D63" t="s">
        <v>69</v>
      </c>
      <c r="E63" s="6">
        <v>-251</v>
      </c>
      <c r="F63" s="7">
        <v>-0.14192701999999999</v>
      </c>
      <c r="G63">
        <v>-117</v>
      </c>
      <c r="H63">
        <v>-132</v>
      </c>
      <c r="I63">
        <v>-164</v>
      </c>
    </row>
    <row r="64" spans="1:9" x14ac:dyDescent="0.25">
      <c r="A64" t="s">
        <v>118</v>
      </c>
      <c r="B64" t="s">
        <v>182</v>
      </c>
      <c r="C64" t="s">
        <v>197</v>
      </c>
      <c r="D64" t="s">
        <v>69</v>
      </c>
      <c r="E64" s="6">
        <v>-251</v>
      </c>
      <c r="F64" s="7">
        <v>-0.14192701999999999</v>
      </c>
      <c r="G64">
        <v>-117</v>
      </c>
      <c r="H64">
        <v>-132</v>
      </c>
      <c r="I64">
        <v>-164</v>
      </c>
    </row>
    <row r="65" spans="1:9" x14ac:dyDescent="0.25">
      <c r="A65" t="s">
        <v>483</v>
      </c>
      <c r="B65" t="s">
        <v>182</v>
      </c>
      <c r="C65" t="s">
        <v>484</v>
      </c>
      <c r="D65" t="s">
        <v>69</v>
      </c>
      <c r="E65" s="6">
        <v>-251</v>
      </c>
      <c r="F65" s="7">
        <v>-0.14192701999999999</v>
      </c>
      <c r="G65">
        <v>-103</v>
      </c>
      <c r="H65">
        <v>-106</v>
      </c>
      <c r="I65">
        <v>-141</v>
      </c>
    </row>
    <row r="66" spans="1:9" x14ac:dyDescent="0.25">
      <c r="A66" t="s">
        <v>198</v>
      </c>
      <c r="B66" t="s">
        <v>182</v>
      </c>
      <c r="C66" t="s">
        <v>199</v>
      </c>
      <c r="D66" t="s">
        <v>69</v>
      </c>
      <c r="E66" s="6">
        <v>-251</v>
      </c>
      <c r="F66" s="7">
        <v>-0.14192701999999999</v>
      </c>
      <c r="G66">
        <v>-97</v>
      </c>
      <c r="H66">
        <v>-103</v>
      </c>
      <c r="I66">
        <v>-120</v>
      </c>
    </row>
    <row r="67" spans="1:9" x14ac:dyDescent="0.25">
      <c r="A67" t="s">
        <v>200</v>
      </c>
      <c r="B67" t="s">
        <v>182</v>
      </c>
      <c r="C67" t="s">
        <v>201</v>
      </c>
      <c r="D67" t="s">
        <v>69</v>
      </c>
      <c r="E67" s="6">
        <v>-251</v>
      </c>
      <c r="F67" s="7">
        <v>-0.14192701999999999</v>
      </c>
      <c r="G67">
        <v>-97</v>
      </c>
      <c r="H67">
        <v>-88</v>
      </c>
      <c r="I67">
        <v>-135</v>
      </c>
    </row>
    <row r="68" spans="1:9" x14ac:dyDescent="0.25">
      <c r="A68" t="s">
        <v>202</v>
      </c>
      <c r="B68" t="s">
        <v>182</v>
      </c>
      <c r="C68" t="s">
        <v>203</v>
      </c>
      <c r="D68" t="s">
        <v>69</v>
      </c>
      <c r="E68" s="6">
        <v>-251</v>
      </c>
      <c r="F68" s="7">
        <v>-0.14192701999999999</v>
      </c>
      <c r="G68">
        <v>-107</v>
      </c>
      <c r="H68">
        <v>-88</v>
      </c>
      <c r="I68">
        <v>-149</v>
      </c>
    </row>
    <row r="69" spans="1:9" x14ac:dyDescent="0.25">
      <c r="A69" t="s">
        <v>184</v>
      </c>
      <c r="B69" t="s">
        <v>182</v>
      </c>
      <c r="C69" t="s">
        <v>185</v>
      </c>
      <c r="D69" t="s">
        <v>69</v>
      </c>
      <c r="E69" s="6">
        <v>-251</v>
      </c>
      <c r="F69" s="7">
        <v>-0.14192701999999999</v>
      </c>
      <c r="G69">
        <v>-87</v>
      </c>
      <c r="H69">
        <v>-98</v>
      </c>
      <c r="I69">
        <v>-121</v>
      </c>
    </row>
    <row r="70" spans="1:9" x14ac:dyDescent="0.25">
      <c r="A70" t="s">
        <v>204</v>
      </c>
      <c r="B70" t="s">
        <v>182</v>
      </c>
      <c r="C70" t="s">
        <v>205</v>
      </c>
      <c r="D70" t="s">
        <v>69</v>
      </c>
      <c r="E70" s="6">
        <v>-251</v>
      </c>
      <c r="F70" s="7">
        <v>-0.14192701999999999</v>
      </c>
      <c r="G70">
        <v>-87</v>
      </c>
      <c r="H70">
        <v>-95</v>
      </c>
      <c r="I70">
        <v>-120</v>
      </c>
    </row>
    <row r="71" spans="1:9" x14ac:dyDescent="0.25">
      <c r="A71" t="s">
        <v>206</v>
      </c>
      <c r="B71" t="s">
        <v>182</v>
      </c>
      <c r="C71" t="s">
        <v>207</v>
      </c>
      <c r="D71" t="s">
        <v>69</v>
      </c>
      <c r="E71" s="6">
        <v>-251</v>
      </c>
      <c r="F71" s="7">
        <v>-0.14192701999999999</v>
      </c>
      <c r="G71">
        <v>-84</v>
      </c>
      <c r="H71">
        <v>-107</v>
      </c>
      <c r="I71">
        <v>-120</v>
      </c>
    </row>
    <row r="72" spans="1:9" x14ac:dyDescent="0.25">
      <c r="A72" t="s">
        <v>208</v>
      </c>
      <c r="B72" t="s">
        <v>182</v>
      </c>
      <c r="C72" t="s">
        <v>79</v>
      </c>
      <c r="D72" t="s">
        <v>69</v>
      </c>
      <c r="E72" s="6">
        <v>-251</v>
      </c>
      <c r="F72" s="7">
        <v>-0.14192701999999999</v>
      </c>
      <c r="G72">
        <v>-112</v>
      </c>
      <c r="H72">
        <v>-77</v>
      </c>
      <c r="I72">
        <v>-145</v>
      </c>
    </row>
    <row r="73" spans="1:9" x14ac:dyDescent="0.25">
      <c r="A73" t="s">
        <v>186</v>
      </c>
      <c r="B73" t="s">
        <v>182</v>
      </c>
      <c r="C73" t="s">
        <v>187</v>
      </c>
      <c r="D73" t="s">
        <v>69</v>
      </c>
      <c r="E73" s="6">
        <v>-251</v>
      </c>
      <c r="F73" s="7">
        <v>-0.14192701999999999</v>
      </c>
      <c r="G73">
        <v>-87</v>
      </c>
      <c r="H73">
        <v>-96</v>
      </c>
      <c r="I73">
        <v>-120</v>
      </c>
    </row>
    <row r="74" spans="1:9" x14ac:dyDescent="0.25">
      <c r="A74" t="s">
        <v>78</v>
      </c>
      <c r="B74" t="s">
        <v>25</v>
      </c>
      <c r="C74" t="s">
        <v>79</v>
      </c>
      <c r="D74" t="s">
        <v>69</v>
      </c>
      <c r="E74" s="6">
        <v>-251</v>
      </c>
      <c r="F74" s="7">
        <v>-0.14192701999999999</v>
      </c>
      <c r="G74">
        <v>-112</v>
      </c>
      <c r="H74">
        <v>-77</v>
      </c>
      <c r="I74">
        <v>-145</v>
      </c>
    </row>
    <row r="75" spans="1:9" x14ac:dyDescent="0.25">
      <c r="A75" t="s">
        <v>209</v>
      </c>
      <c r="B75" t="s">
        <v>182</v>
      </c>
      <c r="C75" t="s">
        <v>210</v>
      </c>
      <c r="D75" t="s">
        <v>69</v>
      </c>
      <c r="E75" s="6">
        <v>-251</v>
      </c>
      <c r="F75" s="7">
        <v>-0.14192701999999999</v>
      </c>
      <c r="G75">
        <v>-86</v>
      </c>
      <c r="H75">
        <v>-98</v>
      </c>
      <c r="I75">
        <v>-119</v>
      </c>
    </row>
    <row r="76" spans="1:9" x14ac:dyDescent="0.25">
      <c r="A76" t="s">
        <v>375</v>
      </c>
      <c r="B76" t="s">
        <v>364</v>
      </c>
      <c r="C76" t="s">
        <v>376</v>
      </c>
      <c r="D76" t="s">
        <v>27</v>
      </c>
      <c r="E76" s="6">
        <v>-112.145</v>
      </c>
      <c r="F76" s="7">
        <v>-0.54750714</v>
      </c>
      <c r="G76">
        <v>-7</v>
      </c>
      <c r="H76">
        <v>215</v>
      </c>
      <c r="I76">
        <v>225</v>
      </c>
    </row>
    <row r="77" spans="1:9" x14ac:dyDescent="0.25">
      <c r="A77" t="s">
        <v>408</v>
      </c>
      <c r="B77" t="s">
        <v>406</v>
      </c>
      <c r="C77" t="s">
        <v>409</v>
      </c>
      <c r="D77" t="s">
        <v>69</v>
      </c>
      <c r="E77" s="6">
        <v>-251</v>
      </c>
      <c r="F77" s="7">
        <v>-0.14192701999999999</v>
      </c>
      <c r="G77">
        <v>-133</v>
      </c>
      <c r="H77">
        <v>-321</v>
      </c>
      <c r="I77">
        <v>50</v>
      </c>
    </row>
    <row r="78" spans="1:9" x14ac:dyDescent="0.25">
      <c r="A78" t="s">
        <v>437</v>
      </c>
      <c r="B78" t="s">
        <v>419</v>
      </c>
      <c r="C78" t="s">
        <v>438</v>
      </c>
      <c r="D78" t="s">
        <v>69</v>
      </c>
      <c r="E78" s="6">
        <v>-251</v>
      </c>
      <c r="F78" s="7">
        <v>-0.14192701999999999</v>
      </c>
      <c r="G78">
        <v>84</v>
      </c>
      <c r="H78">
        <v>-22</v>
      </c>
      <c r="I78">
        <v>209</v>
      </c>
    </row>
    <row r="79" spans="1:9" x14ac:dyDescent="0.25">
      <c r="A79" t="s">
        <v>377</v>
      </c>
      <c r="B79" t="s">
        <v>364</v>
      </c>
      <c r="C79" t="s">
        <v>378</v>
      </c>
      <c r="D79" t="s">
        <v>69</v>
      </c>
      <c r="E79" s="6">
        <v>-251</v>
      </c>
      <c r="F79" s="7">
        <v>-0.14192701999999999</v>
      </c>
      <c r="G79">
        <v>-104</v>
      </c>
      <c r="H79">
        <v>167</v>
      </c>
      <c r="I79">
        <v>-38</v>
      </c>
    </row>
    <row r="80" spans="1:9" x14ac:dyDescent="0.25">
      <c r="A80" t="s">
        <v>439</v>
      </c>
      <c r="B80" t="s">
        <v>419</v>
      </c>
      <c r="C80" t="s">
        <v>440</v>
      </c>
      <c r="D80" t="s">
        <v>249</v>
      </c>
      <c r="E80" s="6">
        <v>-69.400000000000006</v>
      </c>
      <c r="F80" s="7">
        <v>-0.37264638999999999</v>
      </c>
      <c r="G80">
        <v>-100</v>
      </c>
      <c r="H80">
        <v>-248</v>
      </c>
      <c r="I80">
        <v>259</v>
      </c>
    </row>
    <row r="81" spans="1:9" x14ac:dyDescent="0.25">
      <c r="A81" t="s">
        <v>485</v>
      </c>
      <c r="B81" t="s">
        <v>112</v>
      </c>
      <c r="C81" t="s">
        <v>486</v>
      </c>
      <c r="D81" t="s">
        <v>86</v>
      </c>
      <c r="E81" s="6">
        <v>739.84500000000003</v>
      </c>
      <c r="F81" s="7">
        <v>0.10037483</v>
      </c>
      <c r="G81">
        <v>-403</v>
      </c>
      <c r="H81">
        <v>684</v>
      </c>
      <c r="I81">
        <v>41</v>
      </c>
    </row>
    <row r="82" spans="1:9" x14ac:dyDescent="0.25">
      <c r="A82" t="s">
        <v>441</v>
      </c>
      <c r="B82" t="s">
        <v>419</v>
      </c>
      <c r="C82" t="s">
        <v>442</v>
      </c>
      <c r="D82" t="s">
        <v>69</v>
      </c>
      <c r="E82" s="6">
        <v>-251</v>
      </c>
      <c r="F82" s="7">
        <v>-0.14192701999999999</v>
      </c>
      <c r="G82">
        <v>252</v>
      </c>
      <c r="H82">
        <v>-209</v>
      </c>
      <c r="I82">
        <v>-751</v>
      </c>
    </row>
    <row r="83" spans="1:9" x14ac:dyDescent="0.25">
      <c r="A83" t="s">
        <v>487</v>
      </c>
      <c r="B83" t="s">
        <v>112</v>
      </c>
      <c r="C83" t="s">
        <v>488</v>
      </c>
      <c r="D83" t="s">
        <v>69</v>
      </c>
      <c r="E83" s="6">
        <v>-251</v>
      </c>
      <c r="F83" s="7">
        <v>-0.14192701999999999</v>
      </c>
      <c r="G83">
        <v>-333</v>
      </c>
      <c r="H83">
        <v>-222</v>
      </c>
      <c r="I83">
        <v>114</v>
      </c>
    </row>
    <row r="84" spans="1:9" x14ac:dyDescent="0.25">
      <c r="A84" t="s">
        <v>489</v>
      </c>
      <c r="B84" t="s">
        <v>182</v>
      </c>
      <c r="C84" t="s">
        <v>490</v>
      </c>
      <c r="D84" t="s">
        <v>86</v>
      </c>
      <c r="E84" s="6">
        <v>739.84500000000003</v>
      </c>
      <c r="F84" s="7">
        <v>0.10037483</v>
      </c>
      <c r="G84">
        <v>682</v>
      </c>
      <c r="H84">
        <v>-203</v>
      </c>
      <c r="I84">
        <v>480</v>
      </c>
    </row>
    <row r="85" spans="1:9" x14ac:dyDescent="0.25">
      <c r="A85" t="s">
        <v>211</v>
      </c>
      <c r="B85" t="s">
        <v>182</v>
      </c>
      <c r="C85" t="s">
        <v>212</v>
      </c>
      <c r="D85" t="s">
        <v>69</v>
      </c>
      <c r="E85" s="6">
        <v>-251</v>
      </c>
      <c r="F85" s="7">
        <v>-0.14192701999999999</v>
      </c>
      <c r="G85">
        <v>-73</v>
      </c>
      <c r="H85">
        <v>46</v>
      </c>
      <c r="I85">
        <v>-86</v>
      </c>
    </row>
    <row r="86" spans="1:9" x14ac:dyDescent="0.25">
      <c r="A86" t="s">
        <v>211</v>
      </c>
      <c r="B86" t="s">
        <v>364</v>
      </c>
      <c r="C86" t="s">
        <v>212</v>
      </c>
      <c r="D86" t="s">
        <v>69</v>
      </c>
      <c r="E86" s="6">
        <v>-251</v>
      </c>
      <c r="F86" s="7">
        <v>-0.14192701999999999</v>
      </c>
      <c r="G86">
        <v>-73</v>
      </c>
      <c r="H86">
        <v>46</v>
      </c>
      <c r="I86">
        <v>-86</v>
      </c>
    </row>
    <row r="87" spans="1:9" x14ac:dyDescent="0.25">
      <c r="A87" t="s">
        <v>120</v>
      </c>
      <c r="B87" t="s">
        <v>112</v>
      </c>
      <c r="C87" t="s">
        <v>121</v>
      </c>
      <c r="D87" t="s">
        <v>69</v>
      </c>
      <c r="E87" s="6">
        <v>-251</v>
      </c>
      <c r="F87" s="7">
        <v>-0.14192701999999999</v>
      </c>
      <c r="G87">
        <v>-156</v>
      </c>
      <c r="H87">
        <v>-271</v>
      </c>
      <c r="I87">
        <v>-189</v>
      </c>
    </row>
    <row r="88" spans="1:9" x14ac:dyDescent="0.25">
      <c r="A88" t="s">
        <v>122</v>
      </c>
      <c r="B88" t="s">
        <v>112</v>
      </c>
      <c r="C88" t="s">
        <v>123</v>
      </c>
      <c r="D88" t="s">
        <v>69</v>
      </c>
      <c r="E88" s="6">
        <v>-251</v>
      </c>
      <c r="F88" s="7">
        <v>-0.14192701999999999</v>
      </c>
      <c r="G88">
        <v>-637</v>
      </c>
      <c r="H88">
        <v>-549</v>
      </c>
      <c r="I88">
        <v>-203</v>
      </c>
    </row>
    <row r="89" spans="1:9" x14ac:dyDescent="0.25">
      <c r="A89" t="s">
        <v>124</v>
      </c>
      <c r="B89" t="s">
        <v>112</v>
      </c>
      <c r="C89" t="s">
        <v>125</v>
      </c>
      <c r="D89" t="s">
        <v>126</v>
      </c>
      <c r="E89" s="6">
        <v>860.65499999999997</v>
      </c>
      <c r="F89" s="7">
        <v>0.28361367999999998</v>
      </c>
      <c r="G89">
        <v>282</v>
      </c>
      <c r="H89">
        <v>726</v>
      </c>
      <c r="I89">
        <v>254</v>
      </c>
    </row>
    <row r="90" spans="1:9" x14ac:dyDescent="0.25">
      <c r="A90" t="s">
        <v>127</v>
      </c>
      <c r="B90" t="s">
        <v>112</v>
      </c>
      <c r="C90" t="s">
        <v>128</v>
      </c>
      <c r="D90" t="s">
        <v>129</v>
      </c>
      <c r="E90" s="6">
        <v>835.75699999999995</v>
      </c>
      <c r="F90" s="7">
        <v>0.28361367999999998</v>
      </c>
      <c r="G90">
        <v>295</v>
      </c>
      <c r="H90">
        <v>736</v>
      </c>
      <c r="I90">
        <v>257</v>
      </c>
    </row>
    <row r="91" spans="1:9" x14ac:dyDescent="0.25">
      <c r="A91" t="s">
        <v>491</v>
      </c>
      <c r="B91" t="s">
        <v>112</v>
      </c>
      <c r="C91" t="s">
        <v>492</v>
      </c>
      <c r="D91" t="s">
        <v>165</v>
      </c>
      <c r="E91" s="6">
        <v>827.38699999999994</v>
      </c>
      <c r="F91" s="7">
        <v>0.28361367999999998</v>
      </c>
      <c r="G91">
        <v>283</v>
      </c>
      <c r="H91">
        <v>682</v>
      </c>
      <c r="I91">
        <v>231</v>
      </c>
    </row>
    <row r="92" spans="1:9" x14ac:dyDescent="0.25">
      <c r="A92" t="s">
        <v>130</v>
      </c>
      <c r="B92" t="s">
        <v>112</v>
      </c>
      <c r="C92" t="s">
        <v>131</v>
      </c>
      <c r="D92" t="s">
        <v>126</v>
      </c>
      <c r="E92" s="6">
        <v>860.65499999999997</v>
      </c>
      <c r="F92" s="7">
        <v>0.28361367999999998</v>
      </c>
      <c r="G92">
        <v>217</v>
      </c>
      <c r="H92">
        <v>823</v>
      </c>
      <c r="I92">
        <v>299</v>
      </c>
    </row>
    <row r="93" spans="1:9" x14ac:dyDescent="0.25">
      <c r="A93" t="s">
        <v>134</v>
      </c>
      <c r="B93" t="s">
        <v>112</v>
      </c>
      <c r="C93" t="s">
        <v>135</v>
      </c>
      <c r="D93" t="s">
        <v>126</v>
      </c>
      <c r="E93" s="6">
        <v>860.65499999999997</v>
      </c>
      <c r="F93" s="7">
        <v>0.28361367999999998</v>
      </c>
      <c r="G93">
        <v>182</v>
      </c>
      <c r="H93">
        <v>915</v>
      </c>
      <c r="I93">
        <v>344</v>
      </c>
    </row>
    <row r="94" spans="1:9" x14ac:dyDescent="0.25">
      <c r="A94" t="s">
        <v>132</v>
      </c>
      <c r="B94" t="s">
        <v>112</v>
      </c>
      <c r="C94" t="s">
        <v>133</v>
      </c>
      <c r="D94" t="s">
        <v>126</v>
      </c>
      <c r="E94" s="6">
        <v>860.65499999999997</v>
      </c>
      <c r="F94" s="7">
        <v>0.28361367999999998</v>
      </c>
      <c r="G94">
        <v>198</v>
      </c>
      <c r="H94">
        <v>881</v>
      </c>
      <c r="I94">
        <v>317</v>
      </c>
    </row>
    <row r="95" spans="1:9" x14ac:dyDescent="0.25">
      <c r="A95" t="s">
        <v>136</v>
      </c>
      <c r="B95" t="s">
        <v>112</v>
      </c>
      <c r="C95" t="s">
        <v>137</v>
      </c>
      <c r="D95" t="s">
        <v>126</v>
      </c>
      <c r="E95" s="6">
        <v>860.65499999999997</v>
      </c>
      <c r="F95" s="7">
        <v>0.28361367999999998</v>
      </c>
      <c r="G95">
        <v>209</v>
      </c>
      <c r="H95">
        <v>818</v>
      </c>
      <c r="I95">
        <v>290</v>
      </c>
    </row>
    <row r="96" spans="1:9" x14ac:dyDescent="0.25">
      <c r="A96" t="s">
        <v>136</v>
      </c>
      <c r="B96" t="s">
        <v>112</v>
      </c>
      <c r="C96" t="s">
        <v>138</v>
      </c>
      <c r="D96" t="s">
        <v>126</v>
      </c>
      <c r="E96" s="6">
        <v>860.65499999999997</v>
      </c>
      <c r="F96" s="7">
        <v>0.28361367999999998</v>
      </c>
      <c r="G96">
        <v>210</v>
      </c>
      <c r="H96">
        <v>814</v>
      </c>
      <c r="I96">
        <v>289</v>
      </c>
    </row>
    <row r="97" spans="1:9" x14ac:dyDescent="0.25">
      <c r="A97" t="s">
        <v>139</v>
      </c>
      <c r="B97" t="s">
        <v>112</v>
      </c>
      <c r="C97" t="s">
        <v>140</v>
      </c>
      <c r="D97" t="s">
        <v>141</v>
      </c>
      <c r="E97" s="6">
        <v>-23</v>
      </c>
      <c r="F97" s="7">
        <v>-1.1493E-3</v>
      </c>
      <c r="G97">
        <v>-24</v>
      </c>
      <c r="H97">
        <v>-15</v>
      </c>
      <c r="I97">
        <v>5</v>
      </c>
    </row>
    <row r="98" spans="1:9" x14ac:dyDescent="0.25">
      <c r="A98" t="s">
        <v>139</v>
      </c>
      <c r="B98" t="s">
        <v>419</v>
      </c>
      <c r="C98" t="s">
        <v>140</v>
      </c>
      <c r="D98" t="s">
        <v>141</v>
      </c>
      <c r="E98" s="6">
        <v>-23</v>
      </c>
      <c r="F98" s="7">
        <v>-1.1493E-3</v>
      </c>
      <c r="G98">
        <v>-24</v>
      </c>
      <c r="H98">
        <v>-15</v>
      </c>
      <c r="I98">
        <v>5</v>
      </c>
    </row>
    <row r="99" spans="1:9" x14ac:dyDescent="0.25">
      <c r="A99" t="s">
        <v>213</v>
      </c>
      <c r="B99" t="s">
        <v>182</v>
      </c>
      <c r="C99" t="s">
        <v>214</v>
      </c>
      <c r="D99" t="s">
        <v>215</v>
      </c>
      <c r="E99" s="6">
        <v>796.81100000000004</v>
      </c>
      <c r="F99" s="7">
        <v>0.11960023</v>
      </c>
      <c r="G99">
        <v>506</v>
      </c>
      <c r="H99">
        <v>-122</v>
      </c>
      <c r="I99">
        <v>611</v>
      </c>
    </row>
    <row r="100" spans="1:9" x14ac:dyDescent="0.25">
      <c r="A100" t="s">
        <v>379</v>
      </c>
      <c r="B100" t="s">
        <v>364</v>
      </c>
      <c r="C100" t="s">
        <v>380</v>
      </c>
      <c r="D100" t="s">
        <v>69</v>
      </c>
      <c r="E100" s="6">
        <v>-251</v>
      </c>
      <c r="F100" s="7">
        <v>-0.14192701999999999</v>
      </c>
      <c r="G100">
        <v>-794</v>
      </c>
      <c r="H100">
        <v>119</v>
      </c>
      <c r="I100">
        <v>-298</v>
      </c>
    </row>
    <row r="101" spans="1:9" x14ac:dyDescent="0.25">
      <c r="A101" t="s">
        <v>410</v>
      </c>
      <c r="B101" t="s">
        <v>406</v>
      </c>
      <c r="C101" t="s">
        <v>411</v>
      </c>
      <c r="D101" t="s">
        <v>69</v>
      </c>
      <c r="E101" s="6">
        <v>-251</v>
      </c>
      <c r="F101" s="7">
        <v>-0.14192701999999999</v>
      </c>
      <c r="G101">
        <v>208</v>
      </c>
      <c r="H101">
        <v>-435</v>
      </c>
      <c r="I101">
        <v>-229</v>
      </c>
    </row>
    <row r="102" spans="1:9" x14ac:dyDescent="0.25">
      <c r="A102" t="s">
        <v>443</v>
      </c>
      <c r="B102" t="s">
        <v>419</v>
      </c>
      <c r="C102" t="s">
        <v>444</v>
      </c>
      <c r="D102" t="s">
        <v>69</v>
      </c>
      <c r="E102" s="6">
        <v>-251</v>
      </c>
      <c r="F102" s="7">
        <v>-0.14192701999999999</v>
      </c>
      <c r="G102">
        <v>189</v>
      </c>
      <c r="H102">
        <v>-79</v>
      </c>
      <c r="I102">
        <v>-202</v>
      </c>
    </row>
    <row r="103" spans="1:9" x14ac:dyDescent="0.25">
      <c r="A103" t="s">
        <v>142</v>
      </c>
      <c r="B103" t="s">
        <v>112</v>
      </c>
      <c r="C103" t="s">
        <v>143</v>
      </c>
      <c r="D103" t="s">
        <v>126</v>
      </c>
      <c r="E103" s="6">
        <v>860.65499999999997</v>
      </c>
      <c r="F103" s="7">
        <v>0.28361367999999998</v>
      </c>
      <c r="G103">
        <v>-97</v>
      </c>
      <c r="H103">
        <v>787</v>
      </c>
      <c r="I103">
        <v>86</v>
      </c>
    </row>
    <row r="104" spans="1:9" x14ac:dyDescent="0.25">
      <c r="A104" t="s">
        <v>412</v>
      </c>
      <c r="B104" t="s">
        <v>406</v>
      </c>
      <c r="C104" t="s">
        <v>413</v>
      </c>
      <c r="D104" t="s">
        <v>69</v>
      </c>
      <c r="E104" s="6">
        <v>-251</v>
      </c>
      <c r="F104" s="7">
        <v>-0.14192701999999999</v>
      </c>
      <c r="G104">
        <v>145</v>
      </c>
      <c r="H104">
        <v>-187</v>
      </c>
      <c r="I104">
        <v>103</v>
      </c>
    </row>
    <row r="105" spans="1:9" x14ac:dyDescent="0.25">
      <c r="A105" t="s">
        <v>144</v>
      </c>
      <c r="B105" t="s">
        <v>112</v>
      </c>
      <c r="C105" t="s">
        <v>145</v>
      </c>
      <c r="D105" t="s">
        <v>146</v>
      </c>
      <c r="E105" s="6">
        <v>832.93700000000001</v>
      </c>
      <c r="F105" s="7">
        <v>0.28361367999999998</v>
      </c>
      <c r="G105">
        <v>-11</v>
      </c>
      <c r="H105">
        <v>851</v>
      </c>
      <c r="I105">
        <v>5</v>
      </c>
    </row>
    <row r="106" spans="1:9" x14ac:dyDescent="0.25">
      <c r="A106" t="s">
        <v>147</v>
      </c>
      <c r="B106" t="s">
        <v>112</v>
      </c>
      <c r="C106" t="s">
        <v>148</v>
      </c>
      <c r="D106" t="s">
        <v>149</v>
      </c>
      <c r="E106" s="6">
        <v>0</v>
      </c>
      <c r="F106" s="7">
        <v>0</v>
      </c>
      <c r="G106">
        <v>0</v>
      </c>
      <c r="H106">
        <v>0</v>
      </c>
      <c r="I106">
        <v>0</v>
      </c>
    </row>
    <row r="107" spans="1:9" x14ac:dyDescent="0.25">
      <c r="A107" t="s">
        <v>445</v>
      </c>
      <c r="B107" t="s">
        <v>419</v>
      </c>
      <c r="C107" t="s">
        <v>446</v>
      </c>
      <c r="D107" t="s">
        <v>69</v>
      </c>
      <c r="E107" s="6">
        <v>-251</v>
      </c>
      <c r="F107" s="7">
        <v>-0.14192701999999999</v>
      </c>
      <c r="G107">
        <v>647</v>
      </c>
      <c r="H107">
        <v>1777</v>
      </c>
      <c r="I107">
        <v>-1124</v>
      </c>
    </row>
    <row r="108" spans="1:9" x14ac:dyDescent="0.25">
      <c r="A108" t="s">
        <v>381</v>
      </c>
      <c r="B108" t="s">
        <v>364</v>
      </c>
      <c r="C108" t="s">
        <v>382</v>
      </c>
      <c r="D108" t="s">
        <v>249</v>
      </c>
      <c r="E108" s="6">
        <v>-69.400000000000006</v>
      </c>
      <c r="F108" s="7">
        <v>-0.37264638999999999</v>
      </c>
      <c r="G108">
        <v>42</v>
      </c>
      <c r="H108">
        <v>124</v>
      </c>
      <c r="I108">
        <v>147</v>
      </c>
    </row>
    <row r="109" spans="1:9" x14ac:dyDescent="0.25">
      <c r="A109" t="s">
        <v>80</v>
      </c>
      <c r="B109" t="s">
        <v>25</v>
      </c>
      <c r="C109" t="s">
        <v>81</v>
      </c>
      <c r="D109" t="s">
        <v>27</v>
      </c>
      <c r="E109" s="6">
        <v>-112.145</v>
      </c>
      <c r="F109" s="7">
        <v>-0.54750714</v>
      </c>
      <c r="G109">
        <v>-130</v>
      </c>
      <c r="H109">
        <v>29</v>
      </c>
      <c r="I109">
        <v>364</v>
      </c>
    </row>
    <row r="110" spans="1:9" x14ac:dyDescent="0.25">
      <c r="A110" t="s">
        <v>82</v>
      </c>
      <c r="B110" t="s">
        <v>25</v>
      </c>
      <c r="C110" t="s">
        <v>83</v>
      </c>
      <c r="D110" t="s">
        <v>27</v>
      </c>
      <c r="E110" s="6">
        <v>-112.145</v>
      </c>
      <c r="F110" s="7">
        <v>-0.54750714</v>
      </c>
      <c r="G110">
        <v>-90</v>
      </c>
      <c r="H110">
        <v>40</v>
      </c>
      <c r="I110">
        <v>88</v>
      </c>
    </row>
    <row r="111" spans="1:9" x14ac:dyDescent="0.25">
      <c r="A111" t="s">
        <v>449</v>
      </c>
      <c r="B111" t="s">
        <v>419</v>
      </c>
      <c r="C111" t="s">
        <v>450</v>
      </c>
      <c r="D111" t="s">
        <v>249</v>
      </c>
      <c r="E111" s="6">
        <v>-69.400000000000006</v>
      </c>
      <c r="F111" s="7">
        <v>-0.37264638999999999</v>
      </c>
      <c r="G111">
        <v>-133</v>
      </c>
      <c r="H111">
        <v>-79</v>
      </c>
      <c r="I111">
        <v>-72</v>
      </c>
    </row>
    <row r="112" spans="1:9" x14ac:dyDescent="0.25">
      <c r="A112" t="s">
        <v>447</v>
      </c>
      <c r="B112" t="s">
        <v>419</v>
      </c>
      <c r="C112" t="s">
        <v>448</v>
      </c>
      <c r="D112" t="s">
        <v>249</v>
      </c>
      <c r="E112" s="6">
        <v>-69.400000000000006</v>
      </c>
      <c r="F112" s="7">
        <v>-0.37264638999999999</v>
      </c>
      <c r="G112">
        <v>-133</v>
      </c>
      <c r="H112">
        <v>-77</v>
      </c>
      <c r="I112">
        <v>-51</v>
      </c>
    </row>
    <row r="113" spans="1:9" x14ac:dyDescent="0.25">
      <c r="A113" t="s">
        <v>414</v>
      </c>
      <c r="B113" t="s">
        <v>406</v>
      </c>
      <c r="C113" t="s">
        <v>415</v>
      </c>
      <c r="D113" t="s">
        <v>27</v>
      </c>
      <c r="E113" s="6">
        <v>-112.145</v>
      </c>
      <c r="F113" s="7">
        <v>-0.54750714</v>
      </c>
      <c r="G113">
        <v>41</v>
      </c>
      <c r="H113">
        <v>-220</v>
      </c>
      <c r="I113">
        <v>-134</v>
      </c>
    </row>
    <row r="114" spans="1:9" x14ac:dyDescent="0.25">
      <c r="A114" t="s">
        <v>84</v>
      </c>
      <c r="B114" t="s">
        <v>25</v>
      </c>
      <c r="C114" t="s">
        <v>85</v>
      </c>
      <c r="D114" t="s">
        <v>86</v>
      </c>
      <c r="E114" s="6">
        <v>739.84500000000003</v>
      </c>
      <c r="F114" s="7">
        <v>0.10037483</v>
      </c>
      <c r="G114">
        <v>639</v>
      </c>
      <c r="H114">
        <v>405</v>
      </c>
      <c r="I114">
        <v>60</v>
      </c>
    </row>
    <row r="115" spans="1:9" x14ac:dyDescent="0.25">
      <c r="A115" t="s">
        <v>87</v>
      </c>
      <c r="B115" t="s">
        <v>25</v>
      </c>
      <c r="C115" t="s">
        <v>88</v>
      </c>
      <c r="D115" t="s">
        <v>27</v>
      </c>
      <c r="E115" s="6">
        <v>-112.145</v>
      </c>
      <c r="F115" s="7">
        <v>-0.54750714</v>
      </c>
      <c r="G115">
        <v>31</v>
      </c>
      <c r="H115">
        <v>146</v>
      </c>
      <c r="I115">
        <v>47</v>
      </c>
    </row>
    <row r="116" spans="1:9" x14ac:dyDescent="0.25">
      <c r="A116" t="s">
        <v>451</v>
      </c>
      <c r="B116" t="s">
        <v>419</v>
      </c>
      <c r="C116" t="s">
        <v>452</v>
      </c>
      <c r="D116" t="s">
        <v>69</v>
      </c>
      <c r="E116" s="6">
        <v>-251</v>
      </c>
      <c r="F116" s="7">
        <v>-0.14192701999999999</v>
      </c>
      <c r="G116">
        <v>403</v>
      </c>
      <c r="H116">
        <v>-81</v>
      </c>
      <c r="I116">
        <v>277</v>
      </c>
    </row>
    <row r="117" spans="1:9" x14ac:dyDescent="0.25">
      <c r="A117" t="s">
        <v>451</v>
      </c>
      <c r="B117" t="s">
        <v>419</v>
      </c>
      <c r="C117" t="s">
        <v>452</v>
      </c>
      <c r="D117" t="s">
        <v>69</v>
      </c>
      <c r="E117" s="6">
        <v>-251</v>
      </c>
      <c r="F117" s="7">
        <v>-0.14192701999999999</v>
      </c>
      <c r="G117">
        <v>912</v>
      </c>
      <c r="H117">
        <v>-58</v>
      </c>
      <c r="I117">
        <v>1227</v>
      </c>
    </row>
    <row r="118" spans="1:9" x14ac:dyDescent="0.25">
      <c r="A118" t="s">
        <v>89</v>
      </c>
      <c r="B118" t="s">
        <v>25</v>
      </c>
      <c r="C118" t="s">
        <v>90</v>
      </c>
      <c r="D118" t="s">
        <v>27</v>
      </c>
      <c r="E118" s="6">
        <v>-112.145</v>
      </c>
      <c r="F118" s="7">
        <v>-0.54750714</v>
      </c>
      <c r="G118">
        <v>-81</v>
      </c>
      <c r="H118">
        <v>-84</v>
      </c>
      <c r="I118">
        <v>115</v>
      </c>
    </row>
    <row r="119" spans="1:9" x14ac:dyDescent="0.25">
      <c r="A119" t="s">
        <v>91</v>
      </c>
      <c r="B119" t="s">
        <v>25</v>
      </c>
      <c r="C119" t="s">
        <v>92</v>
      </c>
      <c r="D119" t="s">
        <v>27</v>
      </c>
      <c r="E119" s="6">
        <v>-112.145</v>
      </c>
      <c r="F119" s="7">
        <v>-0.54750714</v>
      </c>
      <c r="G119">
        <v>-92</v>
      </c>
      <c r="H119">
        <v>-93</v>
      </c>
      <c r="I119">
        <v>122</v>
      </c>
    </row>
    <row r="120" spans="1:9" x14ac:dyDescent="0.25">
      <c r="A120" t="s">
        <v>383</v>
      </c>
      <c r="B120" t="s">
        <v>364</v>
      </c>
      <c r="C120" t="s">
        <v>384</v>
      </c>
      <c r="D120" t="s">
        <v>27</v>
      </c>
      <c r="E120" s="6">
        <v>-112.145</v>
      </c>
      <c r="F120" s="7">
        <v>-0.54750714</v>
      </c>
      <c r="G120">
        <v>174</v>
      </c>
      <c r="H120">
        <v>359</v>
      </c>
      <c r="I120">
        <v>365</v>
      </c>
    </row>
    <row r="121" spans="1:9" x14ac:dyDescent="0.25">
      <c r="A121" t="s">
        <v>93</v>
      </c>
      <c r="B121" t="s">
        <v>25</v>
      </c>
      <c r="C121" t="s">
        <v>94</v>
      </c>
      <c r="D121" t="s">
        <v>27</v>
      </c>
      <c r="E121" s="6">
        <v>-112.145</v>
      </c>
      <c r="F121" s="7">
        <v>-0.54750714</v>
      </c>
      <c r="G121">
        <v>-74</v>
      </c>
      <c r="H121">
        <v>-130</v>
      </c>
      <c r="I121">
        <v>42</v>
      </c>
    </row>
    <row r="122" spans="1:9" x14ac:dyDescent="0.25">
      <c r="A122" t="s">
        <v>150</v>
      </c>
      <c r="B122" t="s">
        <v>112</v>
      </c>
      <c r="C122" t="s">
        <v>151</v>
      </c>
      <c r="D122" t="s">
        <v>27</v>
      </c>
      <c r="E122" s="6">
        <v>-112.145</v>
      </c>
      <c r="F122" s="7">
        <v>-0.54750714</v>
      </c>
      <c r="G122">
        <v>-247</v>
      </c>
      <c r="H122">
        <v>-148</v>
      </c>
      <c r="I122">
        <v>369</v>
      </c>
    </row>
    <row r="123" spans="1:9" x14ac:dyDescent="0.25">
      <c r="A123" t="s">
        <v>154</v>
      </c>
      <c r="B123" t="s">
        <v>112</v>
      </c>
      <c r="C123" t="s">
        <v>155</v>
      </c>
      <c r="D123" t="s">
        <v>27</v>
      </c>
      <c r="E123" s="6">
        <v>-112.145</v>
      </c>
      <c r="F123" s="7">
        <v>-0.54750714</v>
      </c>
      <c r="G123">
        <v>-243</v>
      </c>
      <c r="H123">
        <v>-192</v>
      </c>
      <c r="I123">
        <v>477</v>
      </c>
    </row>
    <row r="124" spans="1:9" x14ac:dyDescent="0.25">
      <c r="A124" t="s">
        <v>152</v>
      </c>
      <c r="B124" t="s">
        <v>112</v>
      </c>
      <c r="C124" t="s">
        <v>153</v>
      </c>
      <c r="D124" t="s">
        <v>27</v>
      </c>
      <c r="E124" s="6">
        <v>-112.145</v>
      </c>
      <c r="F124" s="7">
        <v>-0.54750714</v>
      </c>
      <c r="G124">
        <v>-249</v>
      </c>
      <c r="H124">
        <v>-156</v>
      </c>
      <c r="I124">
        <v>381</v>
      </c>
    </row>
    <row r="125" spans="1:9" x14ac:dyDescent="0.25">
      <c r="A125" t="s">
        <v>385</v>
      </c>
      <c r="B125" t="s">
        <v>364</v>
      </c>
      <c r="C125" t="s">
        <v>386</v>
      </c>
      <c r="D125" t="s">
        <v>69</v>
      </c>
      <c r="E125" s="6">
        <v>-251</v>
      </c>
      <c r="F125" s="7">
        <v>-0.14192701999999999</v>
      </c>
      <c r="G125">
        <v>-10</v>
      </c>
      <c r="H125">
        <v>375</v>
      </c>
      <c r="I125">
        <v>165</v>
      </c>
    </row>
    <row r="126" spans="1:9" x14ac:dyDescent="0.25">
      <c r="A126" t="s">
        <v>256</v>
      </c>
      <c r="B126" t="s">
        <v>247</v>
      </c>
      <c r="C126" t="s">
        <v>257</v>
      </c>
      <c r="D126" t="s">
        <v>249</v>
      </c>
      <c r="E126" s="6">
        <v>-69.400000000000006</v>
      </c>
      <c r="F126" s="7">
        <v>-0.37264638999999999</v>
      </c>
      <c r="G126">
        <v>-5</v>
      </c>
      <c r="H126">
        <v>135</v>
      </c>
      <c r="I126">
        <v>172</v>
      </c>
    </row>
    <row r="127" spans="1:9" x14ac:dyDescent="0.25">
      <c r="A127" t="s">
        <v>268</v>
      </c>
      <c r="B127" t="s">
        <v>247</v>
      </c>
      <c r="C127" t="s">
        <v>269</v>
      </c>
      <c r="D127" t="s">
        <v>249</v>
      </c>
      <c r="E127" s="6">
        <v>-69.400000000000006</v>
      </c>
      <c r="F127" s="7">
        <v>-0.37264638999999999</v>
      </c>
      <c r="G127">
        <v>-7</v>
      </c>
      <c r="H127">
        <v>162</v>
      </c>
      <c r="I127">
        <v>188</v>
      </c>
    </row>
    <row r="128" spans="1:9" x14ac:dyDescent="0.25">
      <c r="A128" t="s">
        <v>258</v>
      </c>
      <c r="B128" t="s">
        <v>247</v>
      </c>
      <c r="C128" t="s">
        <v>259</v>
      </c>
      <c r="D128" t="s">
        <v>249</v>
      </c>
      <c r="E128" s="6">
        <v>-69.400000000000006</v>
      </c>
      <c r="F128" s="7">
        <v>-0.37264638999999999</v>
      </c>
      <c r="G128">
        <v>-2</v>
      </c>
      <c r="H128">
        <v>152</v>
      </c>
      <c r="I128">
        <v>149</v>
      </c>
    </row>
    <row r="129" spans="1:9" x14ac:dyDescent="0.25">
      <c r="A129" t="s">
        <v>260</v>
      </c>
      <c r="B129" t="s">
        <v>247</v>
      </c>
      <c r="C129" t="s">
        <v>261</v>
      </c>
      <c r="D129" t="s">
        <v>249</v>
      </c>
      <c r="E129" s="6">
        <v>-69.400000000000006</v>
      </c>
      <c r="F129" s="7">
        <v>-0.37264638999999999</v>
      </c>
      <c r="G129">
        <v>2</v>
      </c>
      <c r="H129">
        <v>204</v>
      </c>
      <c r="I129">
        <v>105</v>
      </c>
    </row>
    <row r="130" spans="1:9" x14ac:dyDescent="0.25">
      <c r="A130" t="s">
        <v>262</v>
      </c>
      <c r="B130" t="s">
        <v>247</v>
      </c>
      <c r="C130" t="s">
        <v>263</v>
      </c>
      <c r="D130" t="s">
        <v>249</v>
      </c>
      <c r="E130" s="6">
        <v>-69.400000000000006</v>
      </c>
      <c r="F130" s="7">
        <v>-0.37264638999999999</v>
      </c>
      <c r="G130">
        <v>-4</v>
      </c>
      <c r="H130">
        <v>154</v>
      </c>
      <c r="I130">
        <v>178</v>
      </c>
    </row>
    <row r="131" spans="1:9" x14ac:dyDescent="0.25">
      <c r="A131" t="s">
        <v>266</v>
      </c>
      <c r="B131" t="s">
        <v>247</v>
      </c>
      <c r="C131" t="s">
        <v>267</v>
      </c>
      <c r="D131" t="s">
        <v>249</v>
      </c>
      <c r="E131" s="6">
        <v>-69.400000000000006</v>
      </c>
      <c r="F131" s="7">
        <v>-0.37264638999999999</v>
      </c>
      <c r="G131">
        <v>-10</v>
      </c>
      <c r="H131">
        <v>158</v>
      </c>
      <c r="I131">
        <v>187</v>
      </c>
    </row>
    <row r="132" spans="1:9" x14ac:dyDescent="0.25">
      <c r="A132" t="s">
        <v>278</v>
      </c>
      <c r="B132" t="s">
        <v>247</v>
      </c>
      <c r="C132" t="s">
        <v>279</v>
      </c>
      <c r="D132" t="s">
        <v>249</v>
      </c>
      <c r="E132" s="6">
        <v>-69.400000000000006</v>
      </c>
      <c r="F132" s="7">
        <v>-0.37264638999999999</v>
      </c>
      <c r="G132">
        <v>0</v>
      </c>
      <c r="H132">
        <v>125</v>
      </c>
      <c r="I132">
        <v>201</v>
      </c>
    </row>
    <row r="133" spans="1:9" x14ac:dyDescent="0.25">
      <c r="A133" t="s">
        <v>280</v>
      </c>
      <c r="B133" t="s">
        <v>247</v>
      </c>
      <c r="C133" t="s">
        <v>281</v>
      </c>
      <c r="D133" t="s">
        <v>249</v>
      </c>
      <c r="E133" s="6">
        <v>-69.400000000000006</v>
      </c>
      <c r="F133" s="7">
        <v>-0.37264638999999999</v>
      </c>
      <c r="G133">
        <v>-3</v>
      </c>
      <c r="H133">
        <v>142</v>
      </c>
      <c r="I133">
        <v>183</v>
      </c>
    </row>
    <row r="134" spans="1:9" x14ac:dyDescent="0.25">
      <c r="A134" t="s">
        <v>282</v>
      </c>
      <c r="B134" t="s">
        <v>247</v>
      </c>
      <c r="C134" t="s">
        <v>283</v>
      </c>
      <c r="D134" t="s">
        <v>249</v>
      </c>
      <c r="E134" s="6">
        <v>-69.400000000000006</v>
      </c>
      <c r="F134" s="7">
        <v>-0.37264638999999999</v>
      </c>
      <c r="G134">
        <v>0</v>
      </c>
      <c r="H134">
        <v>125</v>
      </c>
      <c r="I134">
        <v>194</v>
      </c>
    </row>
    <row r="135" spans="1:9" x14ac:dyDescent="0.25">
      <c r="A135" t="s">
        <v>284</v>
      </c>
      <c r="B135" t="s">
        <v>247</v>
      </c>
      <c r="C135" t="s">
        <v>285</v>
      </c>
      <c r="D135" t="s">
        <v>249</v>
      </c>
      <c r="E135" s="6">
        <v>-69.400000000000006</v>
      </c>
      <c r="F135" s="7">
        <v>-0.37264638999999999</v>
      </c>
      <c r="G135">
        <v>-9</v>
      </c>
      <c r="H135">
        <v>152</v>
      </c>
      <c r="I135">
        <v>178</v>
      </c>
    </row>
    <row r="136" spans="1:9" x14ac:dyDescent="0.25">
      <c r="A136" t="s">
        <v>270</v>
      </c>
      <c r="B136" t="s">
        <v>247</v>
      </c>
      <c r="C136" t="s">
        <v>271</v>
      </c>
      <c r="D136" t="s">
        <v>249</v>
      </c>
      <c r="E136" s="6">
        <v>-69.400000000000006</v>
      </c>
      <c r="F136" s="7">
        <v>-0.37264638999999999</v>
      </c>
      <c r="G136">
        <v>-22</v>
      </c>
      <c r="H136">
        <v>160</v>
      </c>
      <c r="I136">
        <v>190</v>
      </c>
    </row>
    <row r="137" spans="1:9" x14ac:dyDescent="0.25">
      <c r="A137" t="s">
        <v>254</v>
      </c>
      <c r="B137" t="s">
        <v>247</v>
      </c>
      <c r="C137" t="s">
        <v>255</v>
      </c>
      <c r="D137" t="s">
        <v>249</v>
      </c>
      <c r="E137" s="6">
        <v>-69.400000000000006</v>
      </c>
      <c r="F137" s="7">
        <v>-0.37264638999999999</v>
      </c>
      <c r="G137">
        <v>-9</v>
      </c>
      <c r="H137">
        <v>161</v>
      </c>
      <c r="I137">
        <v>179</v>
      </c>
    </row>
    <row r="138" spans="1:9" x14ac:dyDescent="0.25">
      <c r="A138" t="s">
        <v>286</v>
      </c>
      <c r="B138" t="s">
        <v>247</v>
      </c>
      <c r="C138" t="s">
        <v>287</v>
      </c>
      <c r="D138" t="s">
        <v>249</v>
      </c>
      <c r="E138" s="6">
        <v>-69.400000000000006</v>
      </c>
      <c r="F138" s="7">
        <v>-0.37264638999999999</v>
      </c>
      <c r="G138">
        <v>11</v>
      </c>
      <c r="H138">
        <v>114</v>
      </c>
      <c r="I138">
        <v>195</v>
      </c>
    </row>
    <row r="139" spans="1:9" x14ac:dyDescent="0.25">
      <c r="A139" t="s">
        <v>272</v>
      </c>
      <c r="B139" t="s">
        <v>247</v>
      </c>
      <c r="C139" t="s">
        <v>273</v>
      </c>
      <c r="D139" t="s">
        <v>249</v>
      </c>
      <c r="E139" s="6">
        <v>-69.400000000000006</v>
      </c>
      <c r="F139" s="7">
        <v>-0.37264638999999999</v>
      </c>
      <c r="G139">
        <v>-9</v>
      </c>
      <c r="H139">
        <v>157</v>
      </c>
      <c r="I139">
        <v>184</v>
      </c>
    </row>
    <row r="140" spans="1:9" x14ac:dyDescent="0.25">
      <c r="A140" t="s">
        <v>250</v>
      </c>
      <c r="B140" t="s">
        <v>247</v>
      </c>
      <c r="C140" t="s">
        <v>251</v>
      </c>
      <c r="D140" t="s">
        <v>249</v>
      </c>
      <c r="E140" s="6">
        <v>-69.400000000000006</v>
      </c>
      <c r="F140" s="7">
        <v>-0.37264638999999999</v>
      </c>
      <c r="G140">
        <v>-8</v>
      </c>
      <c r="H140">
        <v>160</v>
      </c>
      <c r="I140">
        <v>176</v>
      </c>
    </row>
    <row r="141" spans="1:9" x14ac:dyDescent="0.25">
      <c r="A141" t="s">
        <v>288</v>
      </c>
      <c r="B141" t="s">
        <v>247</v>
      </c>
      <c r="C141" t="s">
        <v>289</v>
      </c>
      <c r="D141" t="s">
        <v>249</v>
      </c>
      <c r="E141" s="6">
        <v>-69.400000000000006</v>
      </c>
      <c r="F141" s="7">
        <v>-0.37264638999999999</v>
      </c>
      <c r="G141">
        <v>-12</v>
      </c>
      <c r="H141">
        <v>130</v>
      </c>
      <c r="I141">
        <v>190</v>
      </c>
    </row>
    <row r="142" spans="1:9" x14ac:dyDescent="0.25">
      <c r="A142" t="s">
        <v>274</v>
      </c>
      <c r="B142" t="s">
        <v>247</v>
      </c>
      <c r="C142" t="s">
        <v>275</v>
      </c>
      <c r="D142" t="s">
        <v>249</v>
      </c>
      <c r="E142" s="6">
        <v>-69.400000000000006</v>
      </c>
      <c r="F142" s="7">
        <v>-0.37264638999999999</v>
      </c>
      <c r="G142">
        <v>4</v>
      </c>
      <c r="H142">
        <v>159</v>
      </c>
      <c r="I142">
        <v>188</v>
      </c>
    </row>
    <row r="143" spans="1:9" x14ac:dyDescent="0.25">
      <c r="A143" t="s">
        <v>264</v>
      </c>
      <c r="B143" t="s">
        <v>247</v>
      </c>
      <c r="C143" t="s">
        <v>265</v>
      </c>
      <c r="D143" t="s">
        <v>249</v>
      </c>
      <c r="E143" s="6">
        <v>-69.400000000000006</v>
      </c>
      <c r="F143" s="7">
        <v>-0.37264638999999999</v>
      </c>
      <c r="G143">
        <v>1</v>
      </c>
      <c r="H143">
        <v>140</v>
      </c>
      <c r="I143">
        <v>165</v>
      </c>
    </row>
    <row r="144" spans="1:9" x14ac:dyDescent="0.25">
      <c r="A144" t="s">
        <v>252</v>
      </c>
      <c r="B144" t="s">
        <v>247</v>
      </c>
      <c r="C144" t="s">
        <v>253</v>
      </c>
      <c r="D144" t="s">
        <v>249</v>
      </c>
      <c r="E144" s="6">
        <v>-69.400000000000006</v>
      </c>
      <c r="F144" s="7">
        <v>-0.37264638999999999</v>
      </c>
      <c r="G144">
        <v>-8</v>
      </c>
      <c r="H144">
        <v>159</v>
      </c>
      <c r="I144">
        <v>175</v>
      </c>
    </row>
    <row r="145" spans="1:9" x14ac:dyDescent="0.25">
      <c r="A145" t="s">
        <v>276</v>
      </c>
      <c r="B145" t="s">
        <v>247</v>
      </c>
      <c r="C145" t="s">
        <v>277</v>
      </c>
      <c r="D145" t="s">
        <v>249</v>
      </c>
      <c r="E145" s="6">
        <v>-69.400000000000006</v>
      </c>
      <c r="F145" s="7">
        <v>-0.37264638999999999</v>
      </c>
      <c r="G145">
        <v>-7</v>
      </c>
      <c r="H145">
        <v>139</v>
      </c>
      <c r="I145">
        <v>181</v>
      </c>
    </row>
    <row r="146" spans="1:9" x14ac:dyDescent="0.25">
      <c r="A146" t="s">
        <v>290</v>
      </c>
      <c r="B146" t="s">
        <v>247</v>
      </c>
      <c r="C146" t="s">
        <v>291</v>
      </c>
      <c r="D146" t="s">
        <v>292</v>
      </c>
      <c r="E146" s="6">
        <v>0</v>
      </c>
      <c r="F146" s="7">
        <v>-1.6E-7</v>
      </c>
      <c r="G146">
        <v>0</v>
      </c>
      <c r="H146">
        <v>0</v>
      </c>
      <c r="I146">
        <v>0</v>
      </c>
    </row>
    <row r="147" spans="1:9" x14ac:dyDescent="0.25">
      <c r="A147" t="s">
        <v>293</v>
      </c>
      <c r="B147" t="s">
        <v>247</v>
      </c>
      <c r="C147" t="s">
        <v>294</v>
      </c>
      <c r="D147" t="s">
        <v>292</v>
      </c>
      <c r="E147" s="6">
        <v>0</v>
      </c>
      <c r="F147" s="7">
        <v>-1.6E-7</v>
      </c>
      <c r="G147">
        <v>-2</v>
      </c>
      <c r="H147">
        <v>0</v>
      </c>
      <c r="I147">
        <v>4</v>
      </c>
    </row>
    <row r="148" spans="1:9" x14ac:dyDescent="0.25">
      <c r="A148" t="s">
        <v>295</v>
      </c>
      <c r="B148" t="s">
        <v>247</v>
      </c>
      <c r="C148" t="s">
        <v>296</v>
      </c>
      <c r="D148" t="s">
        <v>292</v>
      </c>
      <c r="E148" s="6">
        <v>0</v>
      </c>
      <c r="F148" s="7">
        <v>-1.6E-7</v>
      </c>
      <c r="G148">
        <v>0</v>
      </c>
      <c r="H148">
        <v>0</v>
      </c>
      <c r="I148">
        <v>0</v>
      </c>
    </row>
    <row r="149" spans="1:9" x14ac:dyDescent="0.25">
      <c r="A149" t="s">
        <v>297</v>
      </c>
      <c r="B149" t="s">
        <v>247</v>
      </c>
      <c r="C149" t="s">
        <v>298</v>
      </c>
      <c r="D149" t="s">
        <v>292</v>
      </c>
      <c r="E149" s="6">
        <v>0</v>
      </c>
      <c r="F149" s="7">
        <v>-1.6E-7</v>
      </c>
      <c r="G149">
        <v>0</v>
      </c>
      <c r="H149">
        <v>0</v>
      </c>
      <c r="I149">
        <v>0</v>
      </c>
    </row>
    <row r="150" spans="1:9" x14ac:dyDescent="0.25">
      <c r="A150" t="s">
        <v>299</v>
      </c>
      <c r="B150" t="s">
        <v>247</v>
      </c>
      <c r="C150" t="s">
        <v>300</v>
      </c>
      <c r="D150" t="s">
        <v>292</v>
      </c>
      <c r="E150" s="6">
        <v>0</v>
      </c>
      <c r="F150" s="7">
        <v>-1.6E-7</v>
      </c>
      <c r="G150">
        <v>1</v>
      </c>
      <c r="H150">
        <v>1</v>
      </c>
      <c r="I150">
        <v>-1</v>
      </c>
    </row>
    <row r="151" spans="1:9" x14ac:dyDescent="0.25">
      <c r="A151" t="s">
        <v>301</v>
      </c>
      <c r="B151" t="s">
        <v>247</v>
      </c>
      <c r="C151" t="s">
        <v>302</v>
      </c>
      <c r="D151" t="s">
        <v>292</v>
      </c>
      <c r="E151" s="6">
        <v>0</v>
      </c>
      <c r="F151" s="7">
        <v>-1.6E-7</v>
      </c>
      <c r="G151">
        <v>0</v>
      </c>
      <c r="H151">
        <v>0</v>
      </c>
      <c r="I151">
        <v>0</v>
      </c>
    </row>
    <row r="152" spans="1:9" x14ac:dyDescent="0.25">
      <c r="A152" t="s">
        <v>95</v>
      </c>
      <c r="B152" t="s">
        <v>25</v>
      </c>
      <c r="C152" t="s">
        <v>96</v>
      </c>
      <c r="D152" t="s">
        <v>27</v>
      </c>
      <c r="E152" s="6">
        <v>-112.145</v>
      </c>
      <c r="F152" s="7">
        <v>-0.54750714</v>
      </c>
      <c r="G152">
        <v>-186</v>
      </c>
      <c r="H152">
        <v>-93</v>
      </c>
      <c r="I152">
        <v>310</v>
      </c>
    </row>
    <row r="153" spans="1:9" x14ac:dyDescent="0.25">
      <c r="A153" t="s">
        <v>387</v>
      </c>
      <c r="B153" t="s">
        <v>364</v>
      </c>
      <c r="C153" t="s">
        <v>388</v>
      </c>
      <c r="D153" t="s">
        <v>69</v>
      </c>
      <c r="E153" s="6">
        <v>-251</v>
      </c>
      <c r="F153" s="7">
        <v>-0.14192701999999999</v>
      </c>
      <c r="G153">
        <v>-425</v>
      </c>
      <c r="H153">
        <v>-169</v>
      </c>
      <c r="I153">
        <v>81</v>
      </c>
    </row>
    <row r="154" spans="1:9" x14ac:dyDescent="0.25">
      <c r="A154" t="s">
        <v>97</v>
      </c>
      <c r="B154" t="s">
        <v>25</v>
      </c>
      <c r="C154" t="s">
        <v>98</v>
      </c>
      <c r="D154" t="s">
        <v>99</v>
      </c>
      <c r="E154" s="6">
        <v>-63</v>
      </c>
      <c r="F154" s="7">
        <v>4.8079500000000001E-3</v>
      </c>
      <c r="G154">
        <v>-130</v>
      </c>
      <c r="H154">
        <v>110</v>
      </c>
      <c r="I154">
        <v>-13</v>
      </c>
    </row>
    <row r="155" spans="1:9" x14ac:dyDescent="0.25">
      <c r="A155" t="s">
        <v>455</v>
      </c>
      <c r="B155" t="s">
        <v>419</v>
      </c>
      <c r="C155" t="s">
        <v>456</v>
      </c>
      <c r="D155" t="s">
        <v>249</v>
      </c>
      <c r="E155" s="6">
        <v>-69.400000000000006</v>
      </c>
      <c r="F155" s="7">
        <v>-0.37264638999999999</v>
      </c>
      <c r="G155">
        <v>89</v>
      </c>
      <c r="H155">
        <v>-279</v>
      </c>
      <c r="I155">
        <v>-183</v>
      </c>
    </row>
    <row r="156" spans="1:9" x14ac:dyDescent="0.25">
      <c r="A156" t="s">
        <v>457</v>
      </c>
      <c r="B156" t="s">
        <v>419</v>
      </c>
      <c r="C156" t="s">
        <v>458</v>
      </c>
      <c r="D156" t="s">
        <v>249</v>
      </c>
      <c r="E156" s="6">
        <v>-69.400000000000006</v>
      </c>
      <c r="F156" s="7">
        <v>-0.37264638999999999</v>
      </c>
      <c r="G156">
        <v>45</v>
      </c>
      <c r="H156">
        <v>-290</v>
      </c>
      <c r="I156">
        <v>-172</v>
      </c>
    </row>
    <row r="157" spans="1:9" x14ac:dyDescent="0.25">
      <c r="A157" t="s">
        <v>457</v>
      </c>
      <c r="B157" t="s">
        <v>419</v>
      </c>
      <c r="C157" t="s">
        <v>464</v>
      </c>
      <c r="D157" t="s">
        <v>69</v>
      </c>
      <c r="E157" s="6">
        <v>-251</v>
      </c>
      <c r="F157" s="7">
        <v>-0.14192701999999999</v>
      </c>
      <c r="G157">
        <v>185</v>
      </c>
      <c r="H157">
        <v>-233</v>
      </c>
      <c r="I157">
        <v>-337</v>
      </c>
    </row>
    <row r="158" spans="1:9" x14ac:dyDescent="0.25">
      <c r="A158" t="s">
        <v>459</v>
      </c>
      <c r="B158" t="s">
        <v>419</v>
      </c>
      <c r="C158" t="s">
        <v>460</v>
      </c>
      <c r="D158" t="s">
        <v>249</v>
      </c>
      <c r="E158" s="6">
        <v>-69.400000000000006</v>
      </c>
      <c r="F158" s="7">
        <v>-0.37264638999999999</v>
      </c>
      <c r="G158">
        <v>65</v>
      </c>
      <c r="H158">
        <v>-290</v>
      </c>
      <c r="I158">
        <v>-190</v>
      </c>
    </row>
    <row r="159" spans="1:9" x14ac:dyDescent="0.25">
      <c r="A159" t="s">
        <v>459</v>
      </c>
      <c r="B159" t="s">
        <v>419</v>
      </c>
      <c r="C159" t="s">
        <v>465</v>
      </c>
      <c r="D159" t="s">
        <v>69</v>
      </c>
      <c r="E159" s="6">
        <v>-251</v>
      </c>
      <c r="F159" s="7">
        <v>-0.14192701999999999</v>
      </c>
      <c r="G159">
        <v>205</v>
      </c>
      <c r="H159">
        <v>-233</v>
      </c>
      <c r="I159">
        <v>-355</v>
      </c>
    </row>
    <row r="160" spans="1:9" x14ac:dyDescent="0.25">
      <c r="A160" t="s">
        <v>453</v>
      </c>
      <c r="B160" t="s">
        <v>419</v>
      </c>
      <c r="C160" t="s">
        <v>454</v>
      </c>
      <c r="D160" t="s">
        <v>249</v>
      </c>
      <c r="E160" s="6">
        <v>-69.400000000000006</v>
      </c>
      <c r="F160" s="7">
        <v>-0.37264638999999999</v>
      </c>
      <c r="G160">
        <v>61</v>
      </c>
      <c r="H160">
        <v>-285</v>
      </c>
      <c r="I160">
        <v>-181</v>
      </c>
    </row>
    <row r="161" spans="1:9" x14ac:dyDescent="0.25">
      <c r="A161" t="s">
        <v>453</v>
      </c>
      <c r="B161" t="s">
        <v>419</v>
      </c>
      <c r="C161" t="s">
        <v>463</v>
      </c>
      <c r="D161" t="s">
        <v>69</v>
      </c>
      <c r="E161" s="6">
        <v>-251</v>
      </c>
      <c r="F161" s="7">
        <v>-0.14192701999999999</v>
      </c>
      <c r="G161">
        <v>201</v>
      </c>
      <c r="H161">
        <v>-228</v>
      </c>
      <c r="I161">
        <v>-346</v>
      </c>
    </row>
    <row r="162" spans="1:9" x14ac:dyDescent="0.25">
      <c r="A162" t="s">
        <v>461</v>
      </c>
      <c r="B162" t="s">
        <v>419</v>
      </c>
      <c r="C162" t="s">
        <v>462</v>
      </c>
      <c r="D162" t="s">
        <v>249</v>
      </c>
      <c r="E162" s="6">
        <v>-69.400000000000006</v>
      </c>
      <c r="F162" s="7">
        <v>-0.37264638999999999</v>
      </c>
      <c r="G162">
        <v>58</v>
      </c>
      <c r="H162">
        <v>-283</v>
      </c>
      <c r="I162">
        <v>-182</v>
      </c>
    </row>
    <row r="163" spans="1:9" x14ac:dyDescent="0.25">
      <c r="A163" t="s">
        <v>461</v>
      </c>
      <c r="B163" t="s">
        <v>419</v>
      </c>
      <c r="C163" t="s">
        <v>466</v>
      </c>
      <c r="D163" t="s">
        <v>69</v>
      </c>
      <c r="E163" s="6">
        <v>-251</v>
      </c>
      <c r="F163" s="7">
        <v>-0.14192701999999999</v>
      </c>
      <c r="G163">
        <v>198</v>
      </c>
      <c r="H163">
        <v>-226</v>
      </c>
      <c r="I163">
        <v>-347</v>
      </c>
    </row>
    <row r="164" spans="1:9" x14ac:dyDescent="0.25">
      <c r="A164" t="s">
        <v>156</v>
      </c>
      <c r="B164" t="s">
        <v>112</v>
      </c>
      <c r="C164" t="s">
        <v>157</v>
      </c>
      <c r="D164" t="s">
        <v>27</v>
      </c>
      <c r="E164" s="6">
        <v>-112.145</v>
      </c>
      <c r="F164" s="7">
        <v>-0.54750714</v>
      </c>
      <c r="G164">
        <v>-346</v>
      </c>
      <c r="H164">
        <v>-1</v>
      </c>
      <c r="I164">
        <v>224</v>
      </c>
    </row>
    <row r="165" spans="1:9" x14ac:dyDescent="0.25">
      <c r="A165" t="s">
        <v>219</v>
      </c>
      <c r="B165" t="s">
        <v>182</v>
      </c>
      <c r="C165" t="s">
        <v>220</v>
      </c>
      <c r="D165" t="s">
        <v>218</v>
      </c>
      <c r="E165" s="6">
        <v>573.60400000000004</v>
      </c>
      <c r="F165" s="7">
        <v>0.11960023</v>
      </c>
      <c r="G165">
        <v>371</v>
      </c>
      <c r="H165">
        <v>-112</v>
      </c>
      <c r="I165">
        <v>434</v>
      </c>
    </row>
    <row r="166" spans="1:9" x14ac:dyDescent="0.25">
      <c r="A166" t="s">
        <v>221</v>
      </c>
      <c r="B166" t="s">
        <v>182</v>
      </c>
      <c r="C166" t="s">
        <v>222</v>
      </c>
      <c r="D166" t="s">
        <v>218</v>
      </c>
      <c r="E166" s="6">
        <v>573.60400000000004</v>
      </c>
      <c r="F166" s="7">
        <v>0.11960023</v>
      </c>
      <c r="G166">
        <v>371</v>
      </c>
      <c r="H166">
        <v>-111</v>
      </c>
      <c r="I166">
        <v>434</v>
      </c>
    </row>
    <row r="167" spans="1:9" x14ac:dyDescent="0.25">
      <c r="A167" t="s">
        <v>216</v>
      </c>
      <c r="B167" t="s">
        <v>182</v>
      </c>
      <c r="C167" t="s">
        <v>217</v>
      </c>
      <c r="D167" t="s">
        <v>218</v>
      </c>
      <c r="E167" s="6">
        <v>573.60400000000004</v>
      </c>
      <c r="F167" s="7">
        <v>0.11960023</v>
      </c>
      <c r="G167">
        <v>375</v>
      </c>
      <c r="H167">
        <v>-111</v>
      </c>
      <c r="I167">
        <v>431</v>
      </c>
    </row>
    <row r="168" spans="1:9" x14ac:dyDescent="0.25">
      <c r="A168" t="s">
        <v>223</v>
      </c>
      <c r="B168" t="s">
        <v>182</v>
      </c>
      <c r="C168" t="s">
        <v>224</v>
      </c>
      <c r="D168" t="s">
        <v>218</v>
      </c>
      <c r="E168" s="6">
        <v>573.60400000000004</v>
      </c>
      <c r="F168" s="7">
        <v>0.11960023</v>
      </c>
      <c r="G168">
        <v>384</v>
      </c>
      <c r="H168">
        <v>-111</v>
      </c>
      <c r="I168">
        <v>425</v>
      </c>
    </row>
    <row r="169" spans="1:9" x14ac:dyDescent="0.25">
      <c r="A169" t="s">
        <v>225</v>
      </c>
      <c r="B169" t="s">
        <v>182</v>
      </c>
      <c r="C169" t="s">
        <v>226</v>
      </c>
      <c r="D169" t="s">
        <v>218</v>
      </c>
      <c r="E169" s="6">
        <v>573.60400000000004</v>
      </c>
      <c r="F169" s="7">
        <v>0.11960023</v>
      </c>
      <c r="G169">
        <v>370</v>
      </c>
      <c r="H169">
        <v>-108</v>
      </c>
      <c r="I169">
        <v>434</v>
      </c>
    </row>
    <row r="170" spans="1:9" x14ac:dyDescent="0.25">
      <c r="A170" t="s">
        <v>389</v>
      </c>
      <c r="B170" t="s">
        <v>364</v>
      </c>
      <c r="C170" t="s">
        <v>390</v>
      </c>
      <c r="D170" t="s">
        <v>69</v>
      </c>
      <c r="E170" s="6">
        <v>-251</v>
      </c>
      <c r="F170" s="7">
        <v>-0.14192701999999999</v>
      </c>
      <c r="G170">
        <v>-307</v>
      </c>
      <c r="H170">
        <v>-92</v>
      </c>
      <c r="I170">
        <v>127</v>
      </c>
    </row>
    <row r="171" spans="1:9" x14ac:dyDescent="0.25">
      <c r="A171" t="s">
        <v>467</v>
      </c>
      <c r="B171" t="s">
        <v>419</v>
      </c>
      <c r="C171" t="s">
        <v>468</v>
      </c>
      <c r="D171" t="s">
        <v>69</v>
      </c>
      <c r="E171" s="6">
        <v>-251</v>
      </c>
      <c r="F171" s="7">
        <v>-0.14192701999999999</v>
      </c>
      <c r="G171">
        <v>185</v>
      </c>
      <c r="H171">
        <v>165</v>
      </c>
      <c r="I171">
        <v>42</v>
      </c>
    </row>
    <row r="172" spans="1:9" x14ac:dyDescent="0.25">
      <c r="A172" t="s">
        <v>100</v>
      </c>
      <c r="B172" t="s">
        <v>25</v>
      </c>
      <c r="C172" t="s">
        <v>101</v>
      </c>
      <c r="D172" t="s">
        <v>27</v>
      </c>
      <c r="E172" s="6">
        <v>-112.145</v>
      </c>
      <c r="F172" s="7">
        <v>-0.54750714</v>
      </c>
      <c r="G172">
        <v>-106</v>
      </c>
      <c r="H172">
        <v>-129</v>
      </c>
      <c r="I172">
        <v>165</v>
      </c>
    </row>
    <row r="173" spans="1:9" x14ac:dyDescent="0.25">
      <c r="A173" t="s">
        <v>102</v>
      </c>
      <c r="B173" t="s">
        <v>25</v>
      </c>
      <c r="C173" t="s">
        <v>103</v>
      </c>
      <c r="D173" t="s">
        <v>27</v>
      </c>
      <c r="E173" s="6">
        <v>-112.145</v>
      </c>
      <c r="F173" s="7">
        <v>-0.54750714</v>
      </c>
      <c r="G173">
        <v>-148</v>
      </c>
      <c r="H173">
        <v>51</v>
      </c>
      <c r="I173">
        <v>-291</v>
      </c>
    </row>
    <row r="174" spans="1:9" x14ac:dyDescent="0.25">
      <c r="A174" t="s">
        <v>391</v>
      </c>
      <c r="B174" t="s">
        <v>364</v>
      </c>
      <c r="C174" t="s">
        <v>392</v>
      </c>
      <c r="D174" t="s">
        <v>69</v>
      </c>
      <c r="E174" s="6">
        <v>-251</v>
      </c>
      <c r="F174" s="7">
        <v>-0.14192701999999999</v>
      </c>
      <c r="G174">
        <v>-499</v>
      </c>
      <c r="H174">
        <v>-249</v>
      </c>
      <c r="I174">
        <v>314</v>
      </c>
    </row>
    <row r="175" spans="1:9" x14ac:dyDescent="0.25">
      <c r="A175" t="s">
        <v>314</v>
      </c>
      <c r="B175" t="s">
        <v>304</v>
      </c>
      <c r="C175" t="s">
        <v>315</v>
      </c>
      <c r="D175" t="s">
        <v>69</v>
      </c>
      <c r="E175" s="6">
        <v>-251</v>
      </c>
      <c r="F175" s="7">
        <v>-0.14192701999999999</v>
      </c>
      <c r="G175">
        <v>-270</v>
      </c>
      <c r="H175">
        <v>188</v>
      </c>
      <c r="I175">
        <v>-388</v>
      </c>
    </row>
    <row r="176" spans="1:9" x14ac:dyDescent="0.25">
      <c r="A176" t="s">
        <v>320</v>
      </c>
      <c r="B176" t="s">
        <v>304</v>
      </c>
      <c r="C176" t="s">
        <v>321</v>
      </c>
      <c r="D176" t="s">
        <v>69</v>
      </c>
      <c r="E176" s="6">
        <v>-251</v>
      </c>
      <c r="F176" s="7">
        <v>-0.14192701999999999</v>
      </c>
      <c r="G176">
        <v>-282</v>
      </c>
      <c r="H176">
        <v>169</v>
      </c>
      <c r="I176">
        <v>-371</v>
      </c>
    </row>
    <row r="177" spans="1:9" x14ac:dyDescent="0.25">
      <c r="A177" t="s">
        <v>322</v>
      </c>
      <c r="B177" t="s">
        <v>304</v>
      </c>
      <c r="C177" t="s">
        <v>323</v>
      </c>
      <c r="D177" t="s">
        <v>69</v>
      </c>
      <c r="E177" s="6">
        <v>-251</v>
      </c>
      <c r="F177" s="7">
        <v>-0.14192701999999999</v>
      </c>
      <c r="G177">
        <v>-278</v>
      </c>
      <c r="H177">
        <v>171</v>
      </c>
      <c r="I177">
        <v>-367</v>
      </c>
    </row>
    <row r="178" spans="1:9" x14ac:dyDescent="0.25">
      <c r="A178" t="s">
        <v>324</v>
      </c>
      <c r="B178" t="s">
        <v>304</v>
      </c>
      <c r="C178" t="s">
        <v>325</v>
      </c>
      <c r="D178" t="s">
        <v>69</v>
      </c>
      <c r="E178" s="6">
        <v>-251</v>
      </c>
      <c r="F178" s="7">
        <v>-0.14192701999999999</v>
      </c>
      <c r="G178">
        <v>-298</v>
      </c>
      <c r="H178">
        <v>159</v>
      </c>
      <c r="I178">
        <v>-369</v>
      </c>
    </row>
    <row r="179" spans="1:9" x14ac:dyDescent="0.25">
      <c r="A179" t="s">
        <v>312</v>
      </c>
      <c r="B179" t="s">
        <v>304</v>
      </c>
      <c r="C179" t="s">
        <v>313</v>
      </c>
      <c r="D179" t="s">
        <v>69</v>
      </c>
      <c r="E179" s="6">
        <v>-251</v>
      </c>
      <c r="F179" s="7">
        <v>-0.14192701999999999</v>
      </c>
      <c r="G179">
        <v>-288</v>
      </c>
      <c r="H179">
        <v>175</v>
      </c>
      <c r="I179">
        <v>-376</v>
      </c>
    </row>
    <row r="180" spans="1:9" x14ac:dyDescent="0.25">
      <c r="A180" t="s">
        <v>316</v>
      </c>
      <c r="B180" t="s">
        <v>304</v>
      </c>
      <c r="C180" t="s">
        <v>317</v>
      </c>
      <c r="D180" t="s">
        <v>69</v>
      </c>
      <c r="E180" s="6">
        <v>-251</v>
      </c>
      <c r="F180" s="7">
        <v>-0.14192701999999999</v>
      </c>
      <c r="G180">
        <v>-270</v>
      </c>
      <c r="H180">
        <v>183</v>
      </c>
      <c r="I180">
        <v>-390</v>
      </c>
    </row>
    <row r="181" spans="1:9" x14ac:dyDescent="0.25">
      <c r="A181" t="s">
        <v>326</v>
      </c>
      <c r="B181" t="s">
        <v>304</v>
      </c>
      <c r="C181" t="s">
        <v>327</v>
      </c>
      <c r="D181" t="s">
        <v>69</v>
      </c>
      <c r="E181" s="6">
        <v>-251</v>
      </c>
      <c r="F181" s="7">
        <v>-0.14192701999999999</v>
      </c>
      <c r="G181">
        <v>-279</v>
      </c>
      <c r="H181">
        <v>175</v>
      </c>
      <c r="I181">
        <v>-379</v>
      </c>
    </row>
    <row r="182" spans="1:9" x14ac:dyDescent="0.25">
      <c r="A182" t="s">
        <v>318</v>
      </c>
      <c r="B182" t="s">
        <v>304</v>
      </c>
      <c r="C182" t="s">
        <v>319</v>
      </c>
      <c r="D182" t="s">
        <v>69</v>
      </c>
      <c r="E182" s="6">
        <v>-251</v>
      </c>
      <c r="F182" s="7">
        <v>-0.14192701999999999</v>
      </c>
      <c r="G182">
        <v>-305</v>
      </c>
      <c r="H182">
        <v>243</v>
      </c>
      <c r="I182">
        <v>-442</v>
      </c>
    </row>
    <row r="183" spans="1:9" x14ac:dyDescent="0.25">
      <c r="A183" t="s">
        <v>328</v>
      </c>
      <c r="B183" t="s">
        <v>304</v>
      </c>
      <c r="C183" t="s">
        <v>329</v>
      </c>
      <c r="D183" t="s">
        <v>69</v>
      </c>
      <c r="E183" s="6">
        <v>-251</v>
      </c>
      <c r="F183" s="7">
        <v>-0.14192701999999999</v>
      </c>
      <c r="G183">
        <v>-295</v>
      </c>
      <c r="H183">
        <v>173</v>
      </c>
      <c r="I183">
        <v>-371</v>
      </c>
    </row>
    <row r="184" spans="1:9" x14ac:dyDescent="0.25">
      <c r="A184" t="s">
        <v>330</v>
      </c>
      <c r="B184" t="s">
        <v>304</v>
      </c>
      <c r="C184" t="s">
        <v>331</v>
      </c>
      <c r="D184" t="s">
        <v>69</v>
      </c>
      <c r="E184" s="6">
        <v>-251</v>
      </c>
      <c r="F184" s="7">
        <v>-0.14192701999999999</v>
      </c>
      <c r="G184">
        <v>16</v>
      </c>
      <c r="H184">
        <v>196</v>
      </c>
      <c r="I184">
        <v>93</v>
      </c>
    </row>
    <row r="185" spans="1:9" x14ac:dyDescent="0.25">
      <c r="A185" t="s">
        <v>393</v>
      </c>
      <c r="B185" t="s">
        <v>364</v>
      </c>
      <c r="C185" t="s">
        <v>394</v>
      </c>
      <c r="D185" t="s">
        <v>249</v>
      </c>
      <c r="E185" s="6">
        <v>-69.400000000000006</v>
      </c>
      <c r="F185" s="7">
        <v>-0.37264638999999999</v>
      </c>
      <c r="G185">
        <v>11</v>
      </c>
      <c r="H185">
        <v>72</v>
      </c>
      <c r="I185">
        <v>-101</v>
      </c>
    </row>
    <row r="186" spans="1:9" x14ac:dyDescent="0.25">
      <c r="A186" t="s">
        <v>493</v>
      </c>
      <c r="B186" t="s">
        <v>182</v>
      </c>
      <c r="C186" t="s">
        <v>494</v>
      </c>
      <c r="D186" t="s">
        <v>231</v>
      </c>
      <c r="E186" s="6">
        <v>-108</v>
      </c>
      <c r="F186" s="7">
        <v>4.8079500000000001E-3</v>
      </c>
      <c r="G186">
        <v>28</v>
      </c>
      <c r="H186">
        <v>-130</v>
      </c>
      <c r="I186">
        <v>-95</v>
      </c>
    </row>
    <row r="187" spans="1:9" x14ac:dyDescent="0.25">
      <c r="A187" t="s">
        <v>158</v>
      </c>
      <c r="B187" t="s">
        <v>112</v>
      </c>
      <c r="C187" t="s">
        <v>159</v>
      </c>
      <c r="D187" t="s">
        <v>69</v>
      </c>
      <c r="E187" s="6">
        <v>-251</v>
      </c>
      <c r="F187" s="7">
        <v>-0.14192701999999999</v>
      </c>
      <c r="G187">
        <v>-128</v>
      </c>
      <c r="H187">
        <v>-283</v>
      </c>
      <c r="I187">
        <v>22</v>
      </c>
    </row>
    <row r="188" spans="1:9" x14ac:dyDescent="0.25">
      <c r="A188" t="s">
        <v>395</v>
      </c>
      <c r="B188" t="s">
        <v>364</v>
      </c>
      <c r="C188" t="s">
        <v>396</v>
      </c>
      <c r="D188" t="s">
        <v>69</v>
      </c>
      <c r="E188" s="6">
        <v>-251</v>
      </c>
      <c r="F188" s="7">
        <v>-0.14192701999999999</v>
      </c>
      <c r="G188">
        <v>164</v>
      </c>
      <c r="H188">
        <v>138</v>
      </c>
      <c r="I188">
        <v>-189</v>
      </c>
    </row>
    <row r="189" spans="1:9" x14ac:dyDescent="0.25">
      <c r="A189" t="s">
        <v>416</v>
      </c>
      <c r="B189" t="s">
        <v>406</v>
      </c>
      <c r="C189" t="s">
        <v>417</v>
      </c>
      <c r="D189" t="s">
        <v>69</v>
      </c>
      <c r="E189" s="6">
        <v>-251</v>
      </c>
      <c r="F189" s="7">
        <v>-0.14192701999999999</v>
      </c>
      <c r="G189">
        <v>94</v>
      </c>
      <c r="H189">
        <v>-948</v>
      </c>
      <c r="I189">
        <v>-1262</v>
      </c>
    </row>
    <row r="190" spans="1:9" x14ac:dyDescent="0.25">
      <c r="A190" t="s">
        <v>227</v>
      </c>
      <c r="B190" t="s">
        <v>182</v>
      </c>
      <c r="C190" t="s">
        <v>228</v>
      </c>
      <c r="D190" t="s">
        <v>69</v>
      </c>
      <c r="E190" s="6">
        <v>-251</v>
      </c>
      <c r="F190" s="7">
        <v>-0.14192701999999999</v>
      </c>
      <c r="G190">
        <v>-225</v>
      </c>
      <c r="H190">
        <v>-65</v>
      </c>
      <c r="I190">
        <v>9</v>
      </c>
    </row>
    <row r="191" spans="1:9" x14ac:dyDescent="0.25">
      <c r="A191" t="s">
        <v>240</v>
      </c>
      <c r="B191" t="s">
        <v>182</v>
      </c>
      <c r="C191" t="s">
        <v>241</v>
      </c>
      <c r="D191" t="s">
        <v>231</v>
      </c>
      <c r="E191" s="6">
        <v>-108</v>
      </c>
      <c r="F191" s="7">
        <v>4.8079500000000001E-3</v>
      </c>
      <c r="G191">
        <v>24</v>
      </c>
      <c r="H191">
        <v>-130</v>
      </c>
      <c r="I191">
        <v>-92</v>
      </c>
    </row>
    <row r="192" spans="1:9" x14ac:dyDescent="0.25">
      <c r="A192" t="s">
        <v>234</v>
      </c>
      <c r="B192" t="s">
        <v>182</v>
      </c>
      <c r="C192" t="s">
        <v>235</v>
      </c>
      <c r="D192" t="s">
        <v>231</v>
      </c>
      <c r="E192" s="6">
        <v>-108</v>
      </c>
      <c r="F192" s="7">
        <v>4.8079500000000001E-3</v>
      </c>
      <c r="G192">
        <v>26</v>
      </c>
      <c r="H192">
        <v>-121</v>
      </c>
      <c r="I192">
        <v>-78</v>
      </c>
    </row>
    <row r="193" spans="1:9" x14ac:dyDescent="0.25">
      <c r="A193" t="s">
        <v>229</v>
      </c>
      <c r="B193" t="s">
        <v>182</v>
      </c>
      <c r="C193" t="s">
        <v>230</v>
      </c>
      <c r="D193" t="s">
        <v>231</v>
      </c>
      <c r="E193" s="6">
        <v>-108</v>
      </c>
      <c r="F193" s="7">
        <v>4.8079500000000001E-3</v>
      </c>
      <c r="G193">
        <v>28</v>
      </c>
      <c r="H193">
        <v>-121</v>
      </c>
      <c r="I193">
        <v>-77</v>
      </c>
    </row>
    <row r="194" spans="1:9" x14ac:dyDescent="0.25">
      <c r="A194" t="s">
        <v>238</v>
      </c>
      <c r="B194" t="s">
        <v>182</v>
      </c>
      <c r="C194" t="s">
        <v>239</v>
      </c>
      <c r="D194" t="s">
        <v>231</v>
      </c>
      <c r="E194" s="6">
        <v>-108</v>
      </c>
      <c r="F194" s="7">
        <v>4.8079500000000001E-3</v>
      </c>
      <c r="G194">
        <v>15</v>
      </c>
      <c r="H194">
        <v>-130</v>
      </c>
      <c r="I194">
        <v>-84</v>
      </c>
    </row>
    <row r="195" spans="1:9" x14ac:dyDescent="0.25">
      <c r="A195" t="s">
        <v>236</v>
      </c>
      <c r="B195" t="s">
        <v>182</v>
      </c>
      <c r="C195" t="s">
        <v>237</v>
      </c>
      <c r="D195" t="s">
        <v>231</v>
      </c>
      <c r="E195" s="6">
        <v>-108</v>
      </c>
      <c r="F195" s="7">
        <v>4.8079500000000001E-3</v>
      </c>
      <c r="G195">
        <v>24</v>
      </c>
      <c r="H195">
        <v>-124</v>
      </c>
      <c r="I195">
        <v>-82</v>
      </c>
    </row>
    <row r="196" spans="1:9" x14ac:dyDescent="0.25">
      <c r="A196" t="s">
        <v>232</v>
      </c>
      <c r="B196" t="s">
        <v>182</v>
      </c>
      <c r="C196" t="s">
        <v>233</v>
      </c>
      <c r="D196" t="s">
        <v>231</v>
      </c>
      <c r="E196" s="6">
        <v>-108</v>
      </c>
      <c r="F196" s="7">
        <v>4.8079500000000001E-3</v>
      </c>
      <c r="G196">
        <v>23</v>
      </c>
      <c r="H196">
        <v>-124</v>
      </c>
      <c r="I196">
        <v>-82</v>
      </c>
    </row>
    <row r="197" spans="1:9" x14ac:dyDescent="0.25">
      <c r="A197" t="s">
        <v>242</v>
      </c>
      <c r="B197" t="s">
        <v>182</v>
      </c>
      <c r="C197" t="s">
        <v>243</v>
      </c>
      <c r="D197" t="s">
        <v>231</v>
      </c>
      <c r="E197" s="6">
        <v>-108</v>
      </c>
      <c r="F197" s="7">
        <v>4.8079500000000001E-3</v>
      </c>
      <c r="G197">
        <v>28</v>
      </c>
      <c r="H197">
        <v>-121</v>
      </c>
      <c r="I197">
        <v>-77</v>
      </c>
    </row>
    <row r="198" spans="1:9" x14ac:dyDescent="0.25">
      <c r="A198" t="s">
        <v>469</v>
      </c>
      <c r="B198" t="s">
        <v>419</v>
      </c>
      <c r="C198" t="s">
        <v>470</v>
      </c>
      <c r="D198" t="s">
        <v>69</v>
      </c>
      <c r="E198" s="6">
        <v>-251</v>
      </c>
      <c r="F198" s="7">
        <v>-0.14192701999999999</v>
      </c>
      <c r="G198">
        <v>170</v>
      </c>
      <c r="H198">
        <v>42</v>
      </c>
      <c r="I198">
        <v>84</v>
      </c>
    </row>
    <row r="199" spans="1:9" x14ac:dyDescent="0.25">
      <c r="A199" t="s">
        <v>397</v>
      </c>
      <c r="B199" t="s">
        <v>364</v>
      </c>
      <c r="C199" t="s">
        <v>398</v>
      </c>
      <c r="D199" t="s">
        <v>69</v>
      </c>
      <c r="E199" s="6">
        <v>-251</v>
      </c>
      <c r="F199" s="7">
        <v>-0.14192701999999999</v>
      </c>
      <c r="G199">
        <v>-203</v>
      </c>
      <c r="H199">
        <v>141</v>
      </c>
      <c r="I199">
        <v>53</v>
      </c>
    </row>
    <row r="200" spans="1:9" x14ac:dyDescent="0.25">
      <c r="A200" t="s">
        <v>399</v>
      </c>
      <c r="B200" t="s">
        <v>364</v>
      </c>
      <c r="C200" t="s">
        <v>400</v>
      </c>
      <c r="D200" t="s">
        <v>69</v>
      </c>
      <c r="E200" s="6">
        <v>-251</v>
      </c>
      <c r="F200" s="7">
        <v>-0.14192701999999999</v>
      </c>
      <c r="G200">
        <v>-355</v>
      </c>
      <c r="H200">
        <v>21</v>
      </c>
      <c r="I200">
        <v>72</v>
      </c>
    </row>
    <row r="201" spans="1:9" x14ac:dyDescent="0.25">
      <c r="A201" t="s">
        <v>104</v>
      </c>
      <c r="B201" t="s">
        <v>25</v>
      </c>
      <c r="C201" t="s">
        <v>105</v>
      </c>
      <c r="D201" t="s">
        <v>86</v>
      </c>
      <c r="E201" s="6">
        <v>653.13499999999999</v>
      </c>
      <c r="F201" s="7">
        <v>0.10037483</v>
      </c>
      <c r="G201">
        <v>616</v>
      </c>
      <c r="H201">
        <v>97</v>
      </c>
      <c r="I201">
        <v>-251</v>
      </c>
    </row>
    <row r="202" spans="1:9" x14ac:dyDescent="0.25">
      <c r="A202" t="s">
        <v>401</v>
      </c>
      <c r="B202" t="s">
        <v>364</v>
      </c>
      <c r="C202" t="s">
        <v>402</v>
      </c>
      <c r="D202" t="s">
        <v>69</v>
      </c>
      <c r="E202" s="6">
        <v>-251</v>
      </c>
      <c r="F202" s="7">
        <v>-0.14192701999999999</v>
      </c>
      <c r="G202">
        <v>-289</v>
      </c>
      <c r="H202">
        <v>-124</v>
      </c>
      <c r="I202">
        <v>60</v>
      </c>
    </row>
    <row r="203" spans="1:9" x14ac:dyDescent="0.25">
      <c r="A203" t="s">
        <v>106</v>
      </c>
      <c r="B203" t="s">
        <v>25</v>
      </c>
      <c r="C203" t="s">
        <v>107</v>
      </c>
      <c r="D203" t="s">
        <v>108</v>
      </c>
      <c r="E203" s="6">
        <v>-112.145</v>
      </c>
      <c r="F203" s="7">
        <v>-0.54750714</v>
      </c>
      <c r="G203">
        <v>-88</v>
      </c>
      <c r="H203">
        <v>4</v>
      </c>
      <c r="I203">
        <v>101</v>
      </c>
    </row>
    <row r="204" spans="1:9" x14ac:dyDescent="0.25">
      <c r="A204" t="s">
        <v>244</v>
      </c>
      <c r="B204" t="s">
        <v>182</v>
      </c>
      <c r="C204" t="s">
        <v>245</v>
      </c>
      <c r="D204" t="s">
        <v>86</v>
      </c>
      <c r="E204" s="6">
        <v>739.84500000000003</v>
      </c>
      <c r="F204" s="7">
        <v>0.10037483</v>
      </c>
      <c r="G204">
        <v>589</v>
      </c>
      <c r="H204">
        <v>76</v>
      </c>
      <c r="I204">
        <v>480</v>
      </c>
    </row>
    <row r="205" spans="1:9" x14ac:dyDescent="0.25">
      <c r="A205" t="s">
        <v>335</v>
      </c>
      <c r="B205" t="s">
        <v>304</v>
      </c>
      <c r="C205" t="s">
        <v>336</v>
      </c>
      <c r="D205" t="s">
        <v>334</v>
      </c>
      <c r="E205" s="6">
        <v>-23</v>
      </c>
      <c r="F205" s="7">
        <v>-8.1203999999999998E-4</v>
      </c>
      <c r="G205">
        <v>-62</v>
      </c>
      <c r="H205">
        <v>-1</v>
      </c>
      <c r="I205">
        <v>-37</v>
      </c>
    </row>
    <row r="206" spans="1:9" x14ac:dyDescent="0.25">
      <c r="A206" t="s">
        <v>347</v>
      </c>
      <c r="B206" t="s">
        <v>304</v>
      </c>
      <c r="C206" t="s">
        <v>348</v>
      </c>
      <c r="D206" t="s">
        <v>334</v>
      </c>
      <c r="E206" s="6">
        <v>-23</v>
      </c>
      <c r="F206" s="7">
        <v>-8.1203999999999998E-4</v>
      </c>
      <c r="G206">
        <v>-47</v>
      </c>
      <c r="H206">
        <v>26</v>
      </c>
      <c r="I206">
        <v>-42</v>
      </c>
    </row>
    <row r="207" spans="1:9" x14ac:dyDescent="0.25">
      <c r="A207" t="s">
        <v>337</v>
      </c>
      <c r="B207" t="s">
        <v>304</v>
      </c>
      <c r="C207" t="s">
        <v>338</v>
      </c>
      <c r="D207" t="s">
        <v>334</v>
      </c>
      <c r="E207" s="6">
        <v>-23</v>
      </c>
      <c r="F207" s="7">
        <v>-8.1203999999999998E-4</v>
      </c>
      <c r="G207">
        <v>-61</v>
      </c>
      <c r="H207">
        <v>2</v>
      </c>
      <c r="I207">
        <v>-48</v>
      </c>
    </row>
    <row r="208" spans="1:9" x14ac:dyDescent="0.25">
      <c r="A208" t="s">
        <v>339</v>
      </c>
      <c r="B208" t="s">
        <v>304</v>
      </c>
      <c r="C208" t="s">
        <v>340</v>
      </c>
      <c r="D208" t="s">
        <v>334</v>
      </c>
      <c r="E208" s="6">
        <v>-23</v>
      </c>
      <c r="F208" s="7">
        <v>-8.1203999999999998E-4</v>
      </c>
      <c r="G208">
        <v>-60</v>
      </c>
      <c r="H208">
        <v>-2</v>
      </c>
      <c r="I208">
        <v>-41</v>
      </c>
    </row>
    <row r="209" spans="1:9" x14ac:dyDescent="0.25">
      <c r="A209" t="s">
        <v>341</v>
      </c>
      <c r="B209" t="s">
        <v>304</v>
      </c>
      <c r="C209" t="s">
        <v>342</v>
      </c>
      <c r="D209" t="s">
        <v>334</v>
      </c>
      <c r="E209" s="6">
        <v>-23</v>
      </c>
      <c r="F209" s="7">
        <v>-8.1203999999999998E-4</v>
      </c>
      <c r="G209">
        <v>-75</v>
      </c>
      <c r="H209">
        <v>-1</v>
      </c>
      <c r="I209">
        <v>-44</v>
      </c>
    </row>
    <row r="210" spans="1:9" x14ac:dyDescent="0.25">
      <c r="A210" t="s">
        <v>343</v>
      </c>
      <c r="B210" t="s">
        <v>304</v>
      </c>
      <c r="C210" t="s">
        <v>344</v>
      </c>
      <c r="D210" t="s">
        <v>334</v>
      </c>
      <c r="E210" s="6">
        <v>-23</v>
      </c>
      <c r="F210" s="7">
        <v>-8.1203999999999998E-4</v>
      </c>
      <c r="G210">
        <v>-44</v>
      </c>
      <c r="H210">
        <v>6</v>
      </c>
      <c r="I210">
        <v>-36</v>
      </c>
    </row>
    <row r="211" spans="1:9" x14ac:dyDescent="0.25">
      <c r="A211" t="s">
        <v>345</v>
      </c>
      <c r="B211" t="s">
        <v>304</v>
      </c>
      <c r="C211" t="s">
        <v>346</v>
      </c>
      <c r="D211" t="s">
        <v>334</v>
      </c>
      <c r="E211" s="6">
        <v>-23</v>
      </c>
      <c r="F211" s="7">
        <v>-8.1203999999999998E-4</v>
      </c>
      <c r="G211">
        <v>-48</v>
      </c>
      <c r="H211">
        <v>3</v>
      </c>
      <c r="I211">
        <v>-44</v>
      </c>
    </row>
    <row r="212" spans="1:9" x14ac:dyDescent="0.25">
      <c r="A212" t="s">
        <v>349</v>
      </c>
      <c r="B212" t="s">
        <v>304</v>
      </c>
      <c r="C212" t="s">
        <v>350</v>
      </c>
      <c r="D212" t="s">
        <v>334</v>
      </c>
      <c r="E212" s="6">
        <v>-23</v>
      </c>
      <c r="F212" s="7">
        <v>-8.1203999999999998E-4</v>
      </c>
      <c r="G212">
        <v>-53</v>
      </c>
      <c r="H212">
        <v>3</v>
      </c>
      <c r="I212">
        <v>-47</v>
      </c>
    </row>
    <row r="213" spans="1:9" x14ac:dyDescent="0.25">
      <c r="A213" t="s">
        <v>332</v>
      </c>
      <c r="B213" t="s">
        <v>304</v>
      </c>
      <c r="C213" t="s">
        <v>333</v>
      </c>
      <c r="D213" t="s">
        <v>334</v>
      </c>
      <c r="E213" s="6">
        <v>-23</v>
      </c>
      <c r="F213" s="7">
        <v>-8.1203999999999998E-4</v>
      </c>
      <c r="G213">
        <v>-57</v>
      </c>
      <c r="H213">
        <v>1</v>
      </c>
      <c r="I213">
        <v>-41</v>
      </c>
    </row>
    <row r="214" spans="1:9" x14ac:dyDescent="0.25">
      <c r="A214" t="s">
        <v>351</v>
      </c>
      <c r="B214" t="s">
        <v>304</v>
      </c>
      <c r="C214" t="s">
        <v>352</v>
      </c>
      <c r="D214" t="s">
        <v>334</v>
      </c>
      <c r="E214" s="6">
        <v>-23</v>
      </c>
      <c r="F214" s="7">
        <v>-8.1203999999999998E-4</v>
      </c>
      <c r="G214">
        <v>-61</v>
      </c>
      <c r="H214">
        <v>2</v>
      </c>
      <c r="I214">
        <v>-33</v>
      </c>
    </row>
    <row r="215" spans="1:9" x14ac:dyDescent="0.25">
      <c r="A215" t="s">
        <v>353</v>
      </c>
      <c r="B215" t="s">
        <v>304</v>
      </c>
      <c r="C215" t="s">
        <v>354</v>
      </c>
      <c r="D215" t="s">
        <v>334</v>
      </c>
      <c r="E215" s="6">
        <v>-23</v>
      </c>
      <c r="F215" s="7">
        <v>-8.1203999999999998E-4</v>
      </c>
      <c r="G215">
        <v>-58</v>
      </c>
      <c r="H215">
        <v>0</v>
      </c>
      <c r="I215">
        <v>-44</v>
      </c>
    </row>
    <row r="216" spans="1:9" x14ac:dyDescent="0.25">
      <c r="A216" t="s">
        <v>355</v>
      </c>
      <c r="B216" t="s">
        <v>304</v>
      </c>
      <c r="C216" t="s">
        <v>356</v>
      </c>
      <c r="D216" t="s">
        <v>334</v>
      </c>
      <c r="E216" s="6">
        <v>-23</v>
      </c>
      <c r="F216" s="7">
        <v>-8.1203999999999998E-4</v>
      </c>
      <c r="G216">
        <v>-45</v>
      </c>
      <c r="H216">
        <v>12</v>
      </c>
      <c r="I216">
        <v>-33</v>
      </c>
    </row>
    <row r="217" spans="1:9" x14ac:dyDescent="0.25">
      <c r="A217" t="s">
        <v>357</v>
      </c>
      <c r="B217" t="s">
        <v>304</v>
      </c>
      <c r="C217" t="s">
        <v>358</v>
      </c>
      <c r="D217" t="s">
        <v>334</v>
      </c>
      <c r="E217" s="6">
        <v>-23</v>
      </c>
      <c r="F217" s="7">
        <v>-8.1203999999999998E-4</v>
      </c>
      <c r="G217">
        <v>-45</v>
      </c>
      <c r="H217">
        <v>8</v>
      </c>
      <c r="I217">
        <v>-33</v>
      </c>
    </row>
    <row r="218" spans="1:9" x14ac:dyDescent="0.25">
      <c r="A218" t="s">
        <v>359</v>
      </c>
      <c r="B218" t="s">
        <v>304</v>
      </c>
      <c r="C218" t="s">
        <v>360</v>
      </c>
      <c r="D218" t="s">
        <v>292</v>
      </c>
      <c r="E218" s="6">
        <v>0</v>
      </c>
      <c r="F218" s="7">
        <v>-1.6E-7</v>
      </c>
      <c r="G218">
        <v>0</v>
      </c>
      <c r="H218">
        <v>0</v>
      </c>
      <c r="I218">
        <v>0</v>
      </c>
    </row>
    <row r="219" spans="1:9" x14ac:dyDescent="0.25">
      <c r="A219" t="s">
        <v>160</v>
      </c>
      <c r="B219" t="s">
        <v>112</v>
      </c>
      <c r="C219" t="s">
        <v>161</v>
      </c>
      <c r="D219" t="s">
        <v>162</v>
      </c>
      <c r="E219" s="6">
        <v>-18</v>
      </c>
      <c r="F219" s="7">
        <v>4.8079500000000001E-3</v>
      </c>
      <c r="G219">
        <v>7</v>
      </c>
      <c r="H219">
        <v>-10</v>
      </c>
      <c r="I219">
        <v>-26</v>
      </c>
    </row>
    <row r="220" spans="1:9" x14ac:dyDescent="0.25">
      <c r="A220" t="s">
        <v>495</v>
      </c>
      <c r="B220" t="s">
        <v>25</v>
      </c>
      <c r="C220" t="s">
        <v>496</v>
      </c>
      <c r="D220" t="s">
        <v>69</v>
      </c>
      <c r="E220" s="6">
        <v>-251</v>
      </c>
      <c r="F220" s="7">
        <v>-0.14192701999999999</v>
      </c>
      <c r="G220">
        <v>-189</v>
      </c>
      <c r="H220">
        <v>-242</v>
      </c>
      <c r="I220">
        <v>-91</v>
      </c>
    </row>
    <row r="221" spans="1:9" x14ac:dyDescent="0.25">
      <c r="A221" t="s">
        <v>163</v>
      </c>
      <c r="B221" t="s">
        <v>112</v>
      </c>
      <c r="C221" t="s">
        <v>164</v>
      </c>
      <c r="D221" t="s">
        <v>165</v>
      </c>
      <c r="E221" s="6">
        <v>838.44399999999996</v>
      </c>
      <c r="F221" s="7">
        <v>0.28361367999999998</v>
      </c>
      <c r="G221">
        <v>-679</v>
      </c>
      <c r="H221">
        <v>669</v>
      </c>
      <c r="I221">
        <v>-48</v>
      </c>
    </row>
    <row r="222" spans="1:9" x14ac:dyDescent="0.25">
      <c r="A222" t="s">
        <v>168</v>
      </c>
      <c r="B222" t="s">
        <v>112</v>
      </c>
      <c r="C222" t="s">
        <v>169</v>
      </c>
      <c r="D222" t="s">
        <v>86</v>
      </c>
      <c r="E222" s="6">
        <v>739.84500000000003</v>
      </c>
      <c r="F222" s="7">
        <v>0.10037483</v>
      </c>
      <c r="G222">
        <v>-148</v>
      </c>
      <c r="H222">
        <v>507</v>
      </c>
      <c r="I222">
        <v>685</v>
      </c>
    </row>
    <row r="223" spans="1:9" x14ac:dyDescent="0.25">
      <c r="A223" t="s">
        <v>166</v>
      </c>
      <c r="B223" t="s">
        <v>112</v>
      </c>
      <c r="C223" t="s">
        <v>167</v>
      </c>
      <c r="D223" t="s">
        <v>86</v>
      </c>
      <c r="E223" s="6">
        <v>739.84500000000003</v>
      </c>
      <c r="F223" s="7">
        <v>0.10037483</v>
      </c>
      <c r="G223">
        <v>-148</v>
      </c>
      <c r="H223">
        <v>507</v>
      </c>
      <c r="I223">
        <v>685</v>
      </c>
    </row>
    <row r="224" spans="1:9" x14ac:dyDescent="0.25">
      <c r="A224" t="s">
        <v>170</v>
      </c>
      <c r="B224" t="s">
        <v>112</v>
      </c>
      <c r="C224" t="s">
        <v>171</v>
      </c>
      <c r="D224" t="s">
        <v>86</v>
      </c>
      <c r="E224" s="6">
        <v>739.84500000000003</v>
      </c>
      <c r="F224" s="7">
        <v>0.10037483</v>
      </c>
      <c r="G224">
        <v>-158</v>
      </c>
      <c r="H224">
        <v>507</v>
      </c>
      <c r="I224">
        <v>676</v>
      </c>
    </row>
    <row r="225" spans="1:9" x14ac:dyDescent="0.25">
      <c r="A225" t="s">
        <v>172</v>
      </c>
      <c r="B225" t="s">
        <v>112</v>
      </c>
      <c r="C225" t="s">
        <v>173</v>
      </c>
      <c r="D225" t="s">
        <v>86</v>
      </c>
      <c r="E225" s="6">
        <v>739.84500000000003</v>
      </c>
      <c r="F225" s="7">
        <v>0.10037483</v>
      </c>
      <c r="G225">
        <v>-146</v>
      </c>
      <c r="H225">
        <v>507</v>
      </c>
      <c r="I225">
        <v>687</v>
      </c>
    </row>
    <row r="226" spans="1:9" x14ac:dyDescent="0.25">
      <c r="A226" t="s">
        <v>172</v>
      </c>
      <c r="B226" t="s">
        <v>112</v>
      </c>
      <c r="C226" t="s">
        <v>174</v>
      </c>
      <c r="D226" t="s">
        <v>86</v>
      </c>
      <c r="E226" s="6">
        <v>739.84500000000003</v>
      </c>
      <c r="F226" s="7">
        <v>0.10037483</v>
      </c>
      <c r="G226">
        <v>-147</v>
      </c>
      <c r="H226">
        <v>506</v>
      </c>
      <c r="I226">
        <v>687</v>
      </c>
    </row>
    <row r="227" spans="1:9" x14ac:dyDescent="0.25">
      <c r="A227" t="s">
        <v>403</v>
      </c>
      <c r="B227" t="s">
        <v>364</v>
      </c>
      <c r="C227" t="s">
        <v>404</v>
      </c>
      <c r="D227" t="s">
        <v>69</v>
      </c>
      <c r="E227" s="6">
        <v>-251</v>
      </c>
      <c r="F227" s="7">
        <v>-0.14192701999999999</v>
      </c>
      <c r="G227">
        <v>-632</v>
      </c>
      <c r="H227">
        <v>438</v>
      </c>
      <c r="I227">
        <v>-609</v>
      </c>
    </row>
    <row r="228" spans="1:9" x14ac:dyDescent="0.25">
      <c r="A228" t="s">
        <v>471</v>
      </c>
      <c r="B228" t="s">
        <v>419</v>
      </c>
      <c r="C228" t="s">
        <v>472</v>
      </c>
      <c r="D228" t="s">
        <v>27</v>
      </c>
      <c r="E228" s="6">
        <v>-112.145</v>
      </c>
      <c r="F228" s="7">
        <v>-0.54750714</v>
      </c>
      <c r="G228">
        <v>51</v>
      </c>
      <c r="H228">
        <v>391</v>
      </c>
      <c r="I228">
        <v>-36</v>
      </c>
    </row>
    <row r="229" spans="1:9" x14ac:dyDescent="0.25">
      <c r="A229" t="s">
        <v>497</v>
      </c>
      <c r="B229" t="s">
        <v>25</v>
      </c>
      <c r="C229" t="s">
        <v>498</v>
      </c>
      <c r="D229" t="s">
        <v>27</v>
      </c>
      <c r="E229" s="6">
        <v>-112.145</v>
      </c>
      <c r="F229" s="7">
        <v>-0.54750714</v>
      </c>
      <c r="G229">
        <v>-73</v>
      </c>
      <c r="H229">
        <v>-247</v>
      </c>
      <c r="I229">
        <v>227</v>
      </c>
    </row>
    <row r="230" spans="1:9" x14ac:dyDescent="0.25">
      <c r="A230" t="s">
        <v>109</v>
      </c>
      <c r="B230" t="s">
        <v>25</v>
      </c>
      <c r="C230" t="s">
        <v>110</v>
      </c>
      <c r="D230" t="s">
        <v>27</v>
      </c>
      <c r="E230" s="6">
        <v>-112.145</v>
      </c>
      <c r="F230" s="7">
        <v>-0.54750714</v>
      </c>
      <c r="G230">
        <v>-123</v>
      </c>
      <c r="H230">
        <v>-206</v>
      </c>
      <c r="I230">
        <v>219</v>
      </c>
    </row>
    <row r="231" spans="1:9" x14ac:dyDescent="0.25">
      <c r="A231" t="s">
        <v>476</v>
      </c>
      <c r="B231" t="s">
        <v>419</v>
      </c>
      <c r="C231" t="s">
        <v>477</v>
      </c>
      <c r="D231" t="s">
        <v>69</v>
      </c>
      <c r="E231" s="6">
        <v>-251</v>
      </c>
      <c r="F231" s="7">
        <v>-0.14192701999999999</v>
      </c>
      <c r="G231">
        <v>276</v>
      </c>
      <c r="H231">
        <v>-57</v>
      </c>
      <c r="I231">
        <v>149</v>
      </c>
    </row>
    <row r="232" spans="1:9" x14ac:dyDescent="0.25">
      <c r="A232" t="s">
        <v>473</v>
      </c>
      <c r="B232" t="s">
        <v>419</v>
      </c>
      <c r="C232" t="s">
        <v>474</v>
      </c>
      <c r="D232" t="s">
        <v>475</v>
      </c>
      <c r="E232" s="6">
        <v>-133</v>
      </c>
      <c r="F232" s="7">
        <v>-0.14192701999999999</v>
      </c>
      <c r="G232">
        <v>102</v>
      </c>
      <c r="H232">
        <v>52</v>
      </c>
      <c r="I232">
        <v>-38</v>
      </c>
    </row>
    <row r="233" spans="1:9" x14ac:dyDescent="0.25">
      <c r="A233" t="s">
        <v>503</v>
      </c>
      <c r="B233" t="s">
        <v>504</v>
      </c>
      <c r="D233" t="s">
        <v>503</v>
      </c>
      <c r="E233" s="6">
        <v>0</v>
      </c>
      <c r="F233" s="7">
        <v>0</v>
      </c>
      <c r="G233">
        <v>0</v>
      </c>
      <c r="H233">
        <v>0</v>
      </c>
      <c r="I233">
        <v>0</v>
      </c>
    </row>
    <row r="234" spans="1:9" x14ac:dyDescent="0.25">
      <c r="A234" t="s">
        <v>499</v>
      </c>
      <c r="B234" t="s">
        <v>481</v>
      </c>
      <c r="C234" t="s">
        <v>500</v>
      </c>
      <c r="D234" t="s">
        <v>69</v>
      </c>
      <c r="E234" s="6">
        <v>-251</v>
      </c>
      <c r="F234" s="7">
        <v>-0.14192701999999999</v>
      </c>
      <c r="G234">
        <v>-155</v>
      </c>
      <c r="H234">
        <v>171</v>
      </c>
      <c r="I234">
        <v>37</v>
      </c>
    </row>
    <row r="235" spans="1:9" x14ac:dyDescent="0.25">
      <c r="A235" t="s">
        <v>361</v>
      </c>
      <c r="B235" t="s">
        <v>304</v>
      </c>
      <c r="C235" t="s">
        <v>362</v>
      </c>
      <c r="D235" t="s">
        <v>69</v>
      </c>
      <c r="E235" s="6">
        <v>-251</v>
      </c>
      <c r="F235" s="7">
        <v>-0.14192701999999999</v>
      </c>
      <c r="G235">
        <v>-265</v>
      </c>
      <c r="H235">
        <v>120</v>
      </c>
      <c r="I235">
        <v>-358</v>
      </c>
    </row>
  </sheetData>
  <sortState ref="A4:I235">
    <sortCondition ref="A4:A235"/>
  </sortState>
  <mergeCells count="6">
    <mergeCell ref="G2:I2"/>
    <mergeCell ref="A2:A3"/>
    <mergeCell ref="B2:B3"/>
    <mergeCell ref="C2:C3"/>
    <mergeCell ref="D2:D3"/>
    <mergeCell ref="E2:F2"/>
  </mergeCell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transformacion</vt:lpstr>
      <vt:lpstr>Ecuaciones Molodensky</vt:lpstr>
      <vt:lpstr>Datum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Torrens</dc:creator>
  <cp:lastModifiedBy>ipv</cp:lastModifiedBy>
  <cp:lastPrinted>2019-11-21T11:25:51Z</cp:lastPrinted>
  <dcterms:created xsi:type="dcterms:W3CDTF">2016-10-18T22:13:20Z</dcterms:created>
  <dcterms:modified xsi:type="dcterms:W3CDTF">2026-02-11T17:47:32Z</dcterms:modified>
</cp:coreProperties>
</file>